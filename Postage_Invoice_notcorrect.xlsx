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37BF3462-C430-E747-9C3D-79AAB4E9E5EF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2 2026" sheetId="1" r:id="rId1"/>
    <sheet name="Apr 3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2" l="1"/>
  <c r="D143" i="2"/>
  <c r="C143" i="2"/>
  <c r="K33" i="2"/>
  <c r="I33" i="2"/>
  <c r="L28" i="2"/>
  <c r="M28" i="2" s="1"/>
  <c r="L27" i="2"/>
  <c r="M27" i="2" s="1"/>
  <c r="L26" i="2"/>
  <c r="M26" i="2" s="1"/>
  <c r="L25" i="2"/>
  <c r="M25" i="2" s="1"/>
  <c r="L24" i="2"/>
  <c r="M24" i="2" s="1"/>
  <c r="M23" i="2"/>
  <c r="L23" i="2"/>
  <c r="L22" i="2"/>
  <c r="M22" i="2" s="1"/>
  <c r="L21" i="2"/>
  <c r="M21" i="2" s="1"/>
  <c r="L20" i="2"/>
  <c r="M20" i="2" s="1"/>
  <c r="M19" i="2"/>
  <c r="L19" i="2"/>
  <c r="L18" i="2"/>
  <c r="M18" i="2" s="1"/>
  <c r="L17" i="2"/>
  <c r="M17" i="2" s="1"/>
  <c r="L16" i="2"/>
  <c r="M16" i="2" s="1"/>
  <c r="M13" i="2"/>
  <c r="K13" i="2"/>
  <c r="M3" i="2"/>
  <c r="E143" i="1"/>
  <c r="D143" i="1"/>
  <c r="C143" i="1"/>
  <c r="K33" i="1"/>
  <c r="I33" i="1"/>
  <c r="M28" i="1"/>
  <c r="L28" i="1"/>
  <c r="L27" i="1"/>
  <c r="M27" i="1" s="1"/>
  <c r="L26" i="1"/>
  <c r="M26" i="1" s="1"/>
  <c r="L25" i="1"/>
  <c r="M25" i="1" s="1"/>
  <c r="M24" i="1"/>
  <c r="L24" i="1"/>
  <c r="L23" i="1"/>
  <c r="M23" i="1" s="1"/>
  <c r="L22" i="1"/>
  <c r="M22" i="1" s="1"/>
  <c r="L21" i="1"/>
  <c r="M21" i="1" s="1"/>
  <c r="M20" i="1"/>
  <c r="L20" i="1"/>
  <c r="L19" i="1"/>
  <c r="M19" i="1" s="1"/>
  <c r="L18" i="1"/>
  <c r="M18" i="1" s="1"/>
  <c r="L17" i="1"/>
  <c r="M17" i="1" s="1"/>
  <c r="M16" i="1"/>
  <c r="L16" i="1"/>
  <c r="K13" i="1"/>
  <c r="M13" i="1" s="1"/>
  <c r="M3" i="1"/>
</calcChain>
</file>

<file path=xl/sharedStrings.xml><?xml version="1.0" encoding="utf-8"?>
<sst xmlns="http://schemas.openxmlformats.org/spreadsheetml/2006/main" count="342" uniqueCount="168">
  <si>
    <t xml:space="preserve">INVOICE # </t>
  </si>
  <si>
    <t>Week ending</t>
  </si>
  <si>
    <t xml:space="preserve">Bill to: </t>
  </si>
  <si>
    <t>Blue Cross Blue Shield -EFD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</si>
  <si>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</si>
  <si>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</si>
  <si>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</si>
  <si>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</si>
  <si>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</si>
  <si>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</si>
  <si>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</si>
  <si>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</si>
  <si>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</si>
  <si>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</si>
  <si>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</si>
  <si>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</si>
  <si>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</si>
  <si>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t>Account Summary for Blue Cross Blue Shield -EFD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</si>
  <si>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</si>
  <si>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</si>
  <si>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</si>
  <si>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</si>
  <si>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</si>
  <si>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</si>
  <si>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</si>
  <si>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</si>
  <si>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</si>
  <si>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</si>
  <si>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</si>
  <si>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</si>
  <si>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</si>
  <si>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</si>
  <si>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</si>
  <si>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</si>
  <si>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</si>
  <si>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</si>
  <si>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</si>
  <si>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</si>
  <si>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</si>
  <si>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</si>
  <si>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</si>
  <si>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</si>
  <si>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</si>
  <si>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</si>
  <si>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</si>
  <si>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</si>
  <si>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</si>
  <si>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</si>
  <si>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</si>
  <si>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</si>
  <si>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</si>
  <si>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</si>
  <si>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Other</t>
  </si>
  <si>
    <t>Foreign</t>
  </si>
  <si>
    <t>Total Savings</t>
  </si>
  <si>
    <t>Total Pieces</t>
  </si>
  <si>
    <t>Total Cost:</t>
  </si>
  <si>
    <t xml:space="preserve">Cost Centers </t>
  </si>
  <si>
    <t>CUSTOMER NAME</t>
  </si>
  <si>
    <t xml:space="preserve"># Pieces </t>
  </si>
  <si>
    <t xml:space="preserve">Charges </t>
  </si>
  <si>
    <t xml:space="preserve">Savings </t>
  </si>
  <si>
    <t>2020--BCBS</t>
  </si>
  <si>
    <t>2150--BCBS</t>
  </si>
  <si>
    <t>2180--BCBS</t>
  </si>
  <si>
    <t>2240--BCBS</t>
  </si>
  <si>
    <t>2260--BCBS</t>
  </si>
  <si>
    <t>2280--BCBS</t>
  </si>
  <si>
    <t>2340--BCBS</t>
  </si>
  <si>
    <t>2370--BCBS</t>
  </si>
  <si>
    <t>2410--BCBS</t>
  </si>
  <si>
    <t>2480--BCBS</t>
  </si>
  <si>
    <t>2500--BCBS</t>
  </si>
  <si>
    <t>2540--BCBS</t>
  </si>
  <si>
    <t>2560--BCBS</t>
  </si>
  <si>
    <t>2580--BCBS</t>
  </si>
  <si>
    <t>2660--BCBS</t>
  </si>
  <si>
    <t>2670--BCBS</t>
  </si>
  <si>
    <t>2720--BCBS</t>
  </si>
  <si>
    <t>2750--BCBS</t>
  </si>
  <si>
    <t>2760--BCBS</t>
  </si>
  <si>
    <t>2770--BCBS</t>
  </si>
  <si>
    <t>2830--BCBS</t>
  </si>
  <si>
    <t>2840--BCBS</t>
  </si>
  <si>
    <t>2850--BCBS</t>
  </si>
  <si>
    <t>2920--BCBS</t>
  </si>
  <si>
    <t>2930--BCBS</t>
  </si>
  <si>
    <t>2960--BCBS</t>
  </si>
  <si>
    <t>4000--BCBS</t>
  </si>
  <si>
    <t>4070--BCBS</t>
  </si>
  <si>
    <t>4100--BCBS</t>
  </si>
  <si>
    <t>4160--BCBS</t>
  </si>
  <si>
    <t>4230--BCBS</t>
  </si>
  <si>
    <t>4250--BCBS</t>
  </si>
  <si>
    <t>4300--BCBS</t>
  </si>
  <si>
    <t>4370--BCBS</t>
  </si>
  <si>
    <t>4380--BCBS</t>
  </si>
  <si>
    <t>4430--BCBS</t>
  </si>
  <si>
    <t>5040--BCBS</t>
  </si>
  <si>
    <t>5070--BCBS</t>
  </si>
  <si>
    <t>5120--BCBS</t>
  </si>
  <si>
    <t>5160--BCBS</t>
  </si>
  <si>
    <t>5180--BCBS</t>
  </si>
  <si>
    <t>5200--BCBS</t>
  </si>
  <si>
    <t>5290--BCBS</t>
  </si>
  <si>
    <t>5450--BCBS</t>
  </si>
  <si>
    <t>5510--BCBS</t>
  </si>
  <si>
    <t>5600--BCBS</t>
  </si>
  <si>
    <t>5630--BCBS</t>
  </si>
  <si>
    <t>5650--BCBS</t>
  </si>
  <si>
    <t>5700--BCBS</t>
  </si>
  <si>
    <t>6140--BCBS</t>
  </si>
  <si>
    <t>6190--BCBS</t>
  </si>
  <si>
    <t>6350--BCBS</t>
  </si>
  <si>
    <t>6370--BCBS</t>
  </si>
  <si>
    <t>6530--BCBS</t>
  </si>
  <si>
    <t>6570--BCBS</t>
  </si>
  <si>
    <t>6780--BCBS</t>
  </si>
  <si>
    <t>6850--BCBS</t>
  </si>
  <si>
    <t>7010--BCBS</t>
  </si>
  <si>
    <t>7030--BCBS</t>
  </si>
  <si>
    <t>7050--BCBS</t>
  </si>
  <si>
    <t>8000--BCBS</t>
  </si>
  <si>
    <t>8020--BCBS</t>
  </si>
  <si>
    <t>8050--BCBS</t>
  </si>
  <si>
    <t>8060--BCBS</t>
  </si>
  <si>
    <t>8100--BCBS</t>
  </si>
  <si>
    <t>8110--BCBS</t>
  </si>
  <si>
    <t>8130--BCBS</t>
  </si>
  <si>
    <t>8330--BCBS</t>
  </si>
  <si>
    <t>8480--BCBS</t>
  </si>
  <si>
    <t>8510--BCBS</t>
  </si>
  <si>
    <t>8530--BCBS</t>
  </si>
  <si>
    <t>8550--BCBS</t>
  </si>
  <si>
    <t>8570--BCBS</t>
  </si>
  <si>
    <t>8610--BCBS</t>
  </si>
  <si>
    <t>8660--BCBS</t>
  </si>
  <si>
    <t>8770--BCBS</t>
  </si>
  <si>
    <t>8880--BCBS</t>
  </si>
  <si>
    <t>9200--BCBS</t>
  </si>
  <si>
    <t>9800--BCBS</t>
  </si>
  <si>
    <t>9810--BCBS</t>
  </si>
  <si>
    <t>9820--BCBS</t>
  </si>
  <si>
    <t>9830--BCBS</t>
  </si>
  <si>
    <t>9840--BCBS</t>
  </si>
  <si>
    <t>9850--BCBS</t>
  </si>
  <si>
    <t>9860--BCBS</t>
  </si>
  <si>
    <t>9870--BCBS</t>
  </si>
  <si>
    <t>9880--BCBS</t>
  </si>
  <si>
    <t>9890--BCBS</t>
  </si>
  <si>
    <t>A2280--BCBS</t>
  </si>
  <si>
    <t>A2430--BCBS</t>
  </si>
  <si>
    <t>A2810--BCBS</t>
  </si>
  <si>
    <t>A8230--BCBS</t>
  </si>
  <si>
    <t>A9780--BCBS</t>
  </si>
  <si>
    <t>A9800--BCBS</t>
  </si>
  <si>
    <t>A9850--BCBS</t>
  </si>
  <si>
    <t>B2430--BCBS</t>
  </si>
  <si>
    <t>B2810--BCBS</t>
  </si>
  <si>
    <t>B8600--BCBS</t>
  </si>
  <si>
    <t>B9850--BCBS</t>
  </si>
  <si>
    <t>C2430--BCBS</t>
  </si>
  <si>
    <t>C8230--BCBS</t>
  </si>
  <si>
    <t>D2430--BCBS</t>
  </si>
  <si>
    <t>E2430--BCBS</t>
  </si>
  <si>
    <t>F5180--BCBS</t>
  </si>
  <si>
    <t>S5180--BCBS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</si>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</sst>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46114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1161.29</v>
      </c>
      <c r="M13" s="1">
        <f>(E13+G13)-K13</f>
        <v>-1161.29</v>
      </c>
    </row>
    <row r="14" spans="1:13" x14ac:dyDescent="0.2">
      <c r="A14" s="2" t="s">
        <v>24</v>
      </c>
      <c r="F14" s="3">
        <v>46114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91</v>
      </c>
      <c r="J17" s="4">
        <v>1.9</v>
      </c>
      <c r="K17" s="5">
        <v>0</v>
      </c>
      <c r="L17" s="4">
        <f t="shared" si="0"/>
        <v>163.80000000000001</v>
      </c>
      <c r="M17" s="4">
        <f t="shared" si="1"/>
        <v>9.0999999999999943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73</v>
      </c>
      <c r="J18" s="4">
        <v>2.17</v>
      </c>
      <c r="K18" s="5">
        <v>0</v>
      </c>
      <c r="L18" s="4">
        <f t="shared" si="0"/>
        <v>151.10999999999999</v>
      </c>
      <c r="M18" s="4">
        <f t="shared" si="1"/>
        <v>7.3000000000000114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29</v>
      </c>
      <c r="J19" s="4">
        <v>2.44</v>
      </c>
      <c r="K19" s="5">
        <v>0</v>
      </c>
      <c r="L19" s="4">
        <f t="shared" si="0"/>
        <v>67.86</v>
      </c>
      <c r="M19" s="4">
        <f t="shared" si="1"/>
        <v>2.9000000000000057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129</v>
      </c>
      <c r="J20" s="4">
        <v>2.72</v>
      </c>
      <c r="K20" s="5">
        <v>0</v>
      </c>
      <c r="L20" s="4">
        <f t="shared" si="0"/>
        <v>337.98</v>
      </c>
      <c r="M20" s="4">
        <f t="shared" si="1"/>
        <v>12.900000000000034</v>
      </c>
    </row>
    <row r="21" spans="1:13" x14ac:dyDescent="0.2">
      <c r="F21" s="1" t="s">
        <v>44</v>
      </c>
      <c r="G21" s="4">
        <v>3</v>
      </c>
      <c r="H21" s="4">
        <v>2.9</v>
      </c>
      <c r="I21" s="5">
        <v>48</v>
      </c>
      <c r="J21" s="4">
        <v>3</v>
      </c>
      <c r="K21" s="5">
        <v>0</v>
      </c>
      <c r="L21" s="4">
        <f t="shared" si="0"/>
        <v>139.19999999999999</v>
      </c>
      <c r="M21" s="4">
        <f t="shared" si="1"/>
        <v>4.8000000000000114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31</v>
      </c>
      <c r="J22" s="4">
        <v>3.28</v>
      </c>
      <c r="K22" s="5">
        <v>0</v>
      </c>
      <c r="L22" s="4">
        <f t="shared" si="0"/>
        <v>98.58</v>
      </c>
      <c r="M22" s="4">
        <f t="shared" si="1"/>
        <v>3.0999999999999943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33</v>
      </c>
      <c r="J23" s="4">
        <v>3.56</v>
      </c>
      <c r="K23" s="5">
        <v>0</v>
      </c>
      <c r="L23" s="4">
        <f t="shared" si="0"/>
        <v>114.17999999999999</v>
      </c>
      <c r="M23" s="4">
        <f t="shared" si="1"/>
        <v>3.3000000000000114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13</v>
      </c>
      <c r="J24" s="4">
        <v>3.84</v>
      </c>
      <c r="K24" s="5">
        <v>0</v>
      </c>
      <c r="L24" s="4">
        <f t="shared" si="0"/>
        <v>48.620000000000005</v>
      </c>
      <c r="M24" s="4">
        <f t="shared" si="1"/>
        <v>1.2999999999999972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12</v>
      </c>
      <c r="J25" s="4">
        <v>4.1399999999999997</v>
      </c>
      <c r="K25" s="5">
        <v>0</v>
      </c>
      <c r="L25" s="4">
        <f t="shared" si="0"/>
        <v>48.480000000000004</v>
      </c>
      <c r="M25" s="4">
        <f t="shared" si="1"/>
        <v>1.1999999999999886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23</v>
      </c>
      <c r="J26" s="4">
        <v>4.4400000000000004</v>
      </c>
      <c r="K26" s="5">
        <v>0</v>
      </c>
      <c r="L26" s="4">
        <f t="shared" si="0"/>
        <v>99.82</v>
      </c>
      <c r="M26" s="4">
        <f t="shared" si="1"/>
        <v>2.3000000000000114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18</v>
      </c>
      <c r="J27" s="4">
        <v>4.74</v>
      </c>
      <c r="K27" s="5">
        <v>0</v>
      </c>
      <c r="L27" s="4">
        <f t="shared" si="0"/>
        <v>83.52</v>
      </c>
      <c r="M27" s="4">
        <f t="shared" si="1"/>
        <v>1.8000000000000114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10</v>
      </c>
      <c r="J28" s="4">
        <v>5.04</v>
      </c>
      <c r="K28" s="5">
        <v>0</v>
      </c>
      <c r="L28" s="4">
        <f t="shared" si="0"/>
        <v>49.400000000000006</v>
      </c>
      <c r="M28" s="4">
        <f t="shared" si="1"/>
        <v>0.99999999999999289</v>
      </c>
    </row>
    <row r="29" spans="1:13" x14ac:dyDescent="0.2">
      <c r="F29" s="1" t="s">
        <v>52</v>
      </c>
      <c r="G29" s="4">
        <v>0</v>
      </c>
      <c r="H29" s="4">
        <v>0</v>
      </c>
      <c r="I29" s="5">
        <v>7</v>
      </c>
      <c r="J29" s="4">
        <v>0</v>
      </c>
      <c r="K29" s="5">
        <v>0</v>
      </c>
      <c r="L29" s="4">
        <v>3.42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517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5">
        <v>517</v>
      </c>
      <c r="K34" s="1" t="s">
        <v>56</v>
      </c>
      <c r="L34" s="4">
        <v>1161.29</v>
      </c>
      <c r="M34" s="4">
        <v>51.7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5</v>
      </c>
      <c r="D40" s="4">
        <v>7.84</v>
      </c>
      <c r="E40" s="4">
        <v>0.5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10</v>
      </c>
      <c r="D42" s="4">
        <v>16.5</v>
      </c>
      <c r="E42" s="4">
        <v>1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1</v>
      </c>
      <c r="D44" s="4">
        <v>1.51</v>
      </c>
      <c r="E44" s="4">
        <v>0.1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15</v>
      </c>
      <c r="D62" s="4">
        <v>24.31</v>
      </c>
      <c r="E62" s="4">
        <v>1.5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1</v>
      </c>
      <c r="D68" s="4">
        <v>1.24</v>
      </c>
      <c r="E68" s="4">
        <v>0.1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9</v>
      </c>
      <c r="D78" s="4">
        <v>19.96</v>
      </c>
      <c r="E78" s="4">
        <v>0.9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76</v>
      </c>
      <c r="D82" s="4">
        <v>191.28</v>
      </c>
      <c r="E82" s="4">
        <v>7.6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20</v>
      </c>
      <c r="D84" s="4">
        <v>34.89</v>
      </c>
      <c r="E84" s="4">
        <v>2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5</v>
      </c>
      <c r="D103" s="4">
        <v>9.75</v>
      </c>
      <c r="E103" s="4">
        <v>0.5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64</v>
      </c>
      <c r="D114" s="4">
        <v>122.86</v>
      </c>
      <c r="E114" s="4">
        <v>6.4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2</v>
      </c>
      <c r="D126" s="4">
        <v>3.29</v>
      </c>
      <c r="E126" s="4">
        <v>0.2</v>
      </c>
    </row>
    <row r="127" spans="1:5" x14ac:dyDescent="0.2">
      <c r="A127" s="1">
        <v>2256</v>
      </c>
      <c r="B127" s="1" t="s">
        <v>152</v>
      </c>
      <c r="C127" s="5">
        <v>279</v>
      </c>
      <c r="D127" s="4">
        <v>680.43</v>
      </c>
      <c r="E127" s="4">
        <v>27.9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5</v>
      </c>
      <c r="D132" s="4">
        <v>7.29</v>
      </c>
      <c r="E132" s="4">
        <v>0.5</v>
      </c>
    </row>
    <row r="133" spans="1:5" x14ac:dyDescent="0.2">
      <c r="A133" s="1">
        <v>2262</v>
      </c>
      <c r="B133" s="1" t="s">
        <v>158</v>
      </c>
      <c r="C133" s="5">
        <v>16</v>
      </c>
      <c r="D133" s="4">
        <v>25.31</v>
      </c>
      <c r="E133" s="4">
        <v>1.6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8</v>
      </c>
      <c r="D137" s="4">
        <v>12.93</v>
      </c>
      <c r="E137" s="4">
        <v>0.8</v>
      </c>
    </row>
    <row r="138" spans="1:5" x14ac:dyDescent="0.2">
      <c r="A138" s="1">
        <v>2267</v>
      </c>
      <c r="B138" s="1" t="s">
        <v>163</v>
      </c>
      <c r="C138" s="5">
        <v>1</v>
      </c>
      <c r="D138" s="4">
        <v>1.9</v>
      </c>
      <c r="E138" s="4">
        <v>0.1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517</v>
      </c>
      <c r="D143" s="4">
        <f>SUM(D37:D142)</f>
        <v>1161.29</v>
      </c>
      <c r="E143" s="4">
        <f>SUM(E37:E142)</f>
        <v>51.7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3"/>
  <sheetViews>
    <sheetView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2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46115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1001.5</v>
      </c>
      <c r="M13" s="1">
        <f>(E13+G13)-K13</f>
        <v>-1001.5</v>
      </c>
    </row>
    <row r="14" spans="1:13" x14ac:dyDescent="0.2">
      <c r="A14" s="2" t="s">
        <v>24</v>
      </c>
      <c r="F14" s="3">
        <v>46115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32</v>
      </c>
      <c r="J17" s="4">
        <v>1.9</v>
      </c>
      <c r="K17" s="5">
        <v>0</v>
      </c>
      <c r="L17" s="4">
        <f t="shared" si="0"/>
        <v>57.6</v>
      </c>
      <c r="M17" s="4">
        <f t="shared" si="1"/>
        <v>3.1999999999999957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32</v>
      </c>
      <c r="J18" s="4">
        <v>2.17</v>
      </c>
      <c r="K18" s="5">
        <v>0</v>
      </c>
      <c r="L18" s="4">
        <f t="shared" si="0"/>
        <v>66.239999999999995</v>
      </c>
      <c r="M18" s="4">
        <f t="shared" si="1"/>
        <v>3.2000000000000028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33</v>
      </c>
      <c r="J19" s="4">
        <v>2.44</v>
      </c>
      <c r="K19" s="5">
        <v>0</v>
      </c>
      <c r="L19" s="4">
        <f t="shared" si="0"/>
        <v>77.22</v>
      </c>
      <c r="M19" s="4">
        <f t="shared" si="1"/>
        <v>3.2999999999999972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111</v>
      </c>
      <c r="J20" s="4">
        <v>2.72</v>
      </c>
      <c r="K20" s="5">
        <v>0</v>
      </c>
      <c r="L20" s="4">
        <f t="shared" si="0"/>
        <v>290.82</v>
      </c>
      <c r="M20" s="4">
        <f t="shared" si="1"/>
        <v>11.100000000000023</v>
      </c>
    </row>
    <row r="21" spans="1:13" x14ac:dyDescent="0.2">
      <c r="F21" s="1" t="s">
        <v>44</v>
      </c>
      <c r="G21" s="4">
        <v>3</v>
      </c>
      <c r="H21" s="4">
        <v>2.9</v>
      </c>
      <c r="I21" s="5">
        <v>46</v>
      </c>
      <c r="J21" s="4">
        <v>3</v>
      </c>
      <c r="K21" s="5">
        <v>0</v>
      </c>
      <c r="L21" s="4">
        <f t="shared" si="0"/>
        <v>133.4</v>
      </c>
      <c r="M21" s="4">
        <f t="shared" si="1"/>
        <v>4.5999999999999943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16</v>
      </c>
      <c r="J22" s="4">
        <v>3.28</v>
      </c>
      <c r="K22" s="5">
        <v>0</v>
      </c>
      <c r="L22" s="4">
        <f t="shared" si="0"/>
        <v>50.88</v>
      </c>
      <c r="M22" s="4">
        <f t="shared" si="1"/>
        <v>1.5999999999999943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28</v>
      </c>
      <c r="J23" s="4">
        <v>3.56</v>
      </c>
      <c r="K23" s="5">
        <v>0</v>
      </c>
      <c r="L23" s="4">
        <f t="shared" si="0"/>
        <v>96.88</v>
      </c>
      <c r="M23" s="4">
        <f t="shared" si="1"/>
        <v>2.8000000000000114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2</v>
      </c>
      <c r="J24" s="4">
        <v>3.84</v>
      </c>
      <c r="K24" s="5">
        <v>0</v>
      </c>
      <c r="L24" s="4">
        <f t="shared" si="0"/>
        <v>7.48</v>
      </c>
      <c r="M24" s="4">
        <f t="shared" si="1"/>
        <v>0.19999999999999929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15</v>
      </c>
      <c r="J25" s="4">
        <v>4.1399999999999997</v>
      </c>
      <c r="K25" s="5">
        <v>0</v>
      </c>
      <c r="L25" s="4">
        <f t="shared" si="0"/>
        <v>60.6</v>
      </c>
      <c r="M25" s="4">
        <f t="shared" si="1"/>
        <v>1.4999999999999929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56</v>
      </c>
      <c r="J26" s="4">
        <v>4.4400000000000004</v>
      </c>
      <c r="K26" s="5">
        <v>0</v>
      </c>
      <c r="L26" s="4">
        <f t="shared" si="0"/>
        <v>243.04</v>
      </c>
      <c r="M26" s="4">
        <f t="shared" si="1"/>
        <v>5.6000000000000227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16</v>
      </c>
      <c r="J27" s="4">
        <v>4.74</v>
      </c>
      <c r="K27" s="5">
        <v>0</v>
      </c>
      <c r="L27" s="4">
        <f t="shared" si="0"/>
        <v>74.239999999999995</v>
      </c>
      <c r="M27" s="4">
        <f t="shared" si="1"/>
        <v>1.6000000000000085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</v>
      </c>
      <c r="J28" s="4">
        <v>5.04</v>
      </c>
      <c r="K28" s="5">
        <v>0</v>
      </c>
      <c r="L28" s="4">
        <f t="shared" si="0"/>
        <v>4.9400000000000004</v>
      </c>
      <c r="M28" s="4">
        <f t="shared" si="1"/>
        <v>9.9999999999999645E-2</v>
      </c>
    </row>
    <row r="29" spans="1:13" x14ac:dyDescent="0.2">
      <c r="F29" s="1" t="s">
        <v>52</v>
      </c>
      <c r="G29" s="4">
        <v>0</v>
      </c>
      <c r="H29" s="4">
        <v>0</v>
      </c>
      <c r="I29" s="5">
        <v>0</v>
      </c>
      <c r="J29" s="4">
        <v>0</v>
      </c>
      <c r="K29" s="5">
        <v>0</v>
      </c>
      <c r="L29" s="4">
        <v>0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388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5">
        <v>388</v>
      </c>
      <c r="K34" s="1" t="s">
        <v>56</v>
      </c>
      <c r="L34" s="4">
        <v>1001.5</v>
      </c>
      <c r="M34" s="4">
        <v>38.799999999999997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1</v>
      </c>
      <c r="D40" s="4">
        <v>1.51</v>
      </c>
      <c r="E40" s="4">
        <v>0.1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0</v>
      </c>
      <c r="D42" s="4">
        <v>0</v>
      </c>
      <c r="E42" s="4">
        <v>0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0</v>
      </c>
      <c r="D44" s="4">
        <v>0</v>
      </c>
      <c r="E44" s="4">
        <v>0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</v>
      </c>
      <c r="D62" s="4">
        <v>1.51</v>
      </c>
      <c r="E62" s="4">
        <v>0.1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0</v>
      </c>
      <c r="D68" s="4">
        <v>0</v>
      </c>
      <c r="E68" s="4">
        <v>0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0</v>
      </c>
      <c r="D78" s="4">
        <v>0</v>
      </c>
      <c r="E78" s="4">
        <v>0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25</v>
      </c>
      <c r="D82" s="4">
        <v>64.72</v>
      </c>
      <c r="E82" s="4">
        <v>2.5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3</v>
      </c>
      <c r="D84" s="4">
        <v>4.53</v>
      </c>
      <c r="E84" s="4">
        <v>0.3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0</v>
      </c>
      <c r="D103" s="4">
        <v>0</v>
      </c>
      <c r="E103" s="4">
        <v>0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39</v>
      </c>
      <c r="D114" s="4">
        <v>72.33</v>
      </c>
      <c r="E114" s="4">
        <v>3.9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0</v>
      </c>
      <c r="D126" s="4">
        <v>0</v>
      </c>
      <c r="E126" s="4">
        <v>0</v>
      </c>
    </row>
    <row r="127" spans="1:5" x14ac:dyDescent="0.2">
      <c r="A127" s="1">
        <v>2256</v>
      </c>
      <c r="B127" s="1" t="s">
        <v>152</v>
      </c>
      <c r="C127" s="5">
        <v>317</v>
      </c>
      <c r="D127" s="4">
        <v>854.15</v>
      </c>
      <c r="E127" s="4">
        <v>31.7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0</v>
      </c>
      <c r="D132" s="4">
        <v>0</v>
      </c>
      <c r="E132" s="4">
        <v>0</v>
      </c>
    </row>
    <row r="133" spans="1:5" x14ac:dyDescent="0.2">
      <c r="A133" s="1">
        <v>2262</v>
      </c>
      <c r="B133" s="1" t="s">
        <v>158</v>
      </c>
      <c r="C133" s="5">
        <v>2</v>
      </c>
      <c r="D133" s="4">
        <v>2.75</v>
      </c>
      <c r="E133" s="4">
        <v>0.2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0</v>
      </c>
      <c r="D137" s="4">
        <v>0</v>
      </c>
      <c r="E137" s="4">
        <v>0</v>
      </c>
    </row>
    <row r="138" spans="1:5" x14ac:dyDescent="0.2">
      <c r="A138" s="1">
        <v>2267</v>
      </c>
      <c r="B138" s="1" t="s">
        <v>163</v>
      </c>
      <c r="C138" s="5">
        <v>0</v>
      </c>
      <c r="D138" s="4">
        <v>0</v>
      </c>
      <c r="E138" s="4">
        <v>0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388</v>
      </c>
      <c r="D143" s="4">
        <f>SUM(D37:D142)</f>
        <v>1001.5</v>
      </c>
      <c r="E143" s="4">
        <f>SUM(E37:E142)</f>
        <v>38.800000000000004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 2 2026</vt:lpstr>
      <vt:lpstr>Apr 3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2026-04-06T14:44:22Z</dcterms:created>
  <dcterms:modified xsi:type="dcterms:W3CDTF">2026-04-06T14:45:45Z</dcterms:modified>
</cp:coreProperties>
</file>