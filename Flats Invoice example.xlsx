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rustlineage-my.sharepoint.com/personal/jhansen_trustlineage_com/Documents/Zero Agent/"/>
    </mc:Choice>
  </mc:AlternateContent>
  <xr:revisionPtr revIDLastSave="0" documentId="8_{EBCEEF35-A8C0-4FA9-88EC-F1455AE4EB29}" xr6:coauthVersionLast="47" xr6:coauthVersionMax="47" xr10:uidLastSave="{00000000-0000-0000-0000-000000000000}"/>
  <bookViews>
    <workbookView xWindow="-98" yWindow="-98" windowWidth="21795" windowHeight="13875" xr2:uid="{85541F3D-ADEC-493A-8719-9A092CCDCACD}"/>
  </bookViews>
  <sheets>
    <sheet name="Jan 30 2026" sheetId="1" r:id="rId1"/>
  </sheets>
  <definedNames>
    <definedName name="_xlnm.Print_Area" localSheetId="0">'Jan 30 2026'!$A$1:$AJ$108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" i="1" l="1"/>
  <c r="A99" i="1"/>
  <c r="C98" i="1"/>
  <c r="B98" i="1"/>
  <c r="A98" i="1"/>
  <c r="E101" i="1" s="1"/>
  <c r="C97" i="1"/>
  <c r="B97" i="1"/>
  <c r="G101" i="1" s="1"/>
  <c r="K33" i="1"/>
  <c r="I33" i="1"/>
  <c r="I34" i="1" s="1"/>
  <c r="M32" i="1"/>
  <c r="L32" i="1"/>
  <c r="M31" i="1"/>
  <c r="L31" i="1"/>
  <c r="L30" i="1"/>
  <c r="M30" i="1" s="1"/>
  <c r="L29" i="1"/>
  <c r="M29" i="1" s="1"/>
  <c r="M28" i="1"/>
  <c r="L28" i="1"/>
  <c r="M27" i="1"/>
  <c r="L27" i="1"/>
  <c r="L26" i="1"/>
  <c r="M26" i="1" s="1"/>
  <c r="L25" i="1"/>
  <c r="M25" i="1" s="1"/>
  <c r="M24" i="1"/>
  <c r="L24" i="1"/>
  <c r="M23" i="1"/>
  <c r="L23" i="1"/>
  <c r="L22" i="1"/>
  <c r="M22" i="1" s="1"/>
  <c r="L21" i="1"/>
  <c r="M21" i="1" s="1"/>
  <c r="M20" i="1"/>
  <c r="L20" i="1"/>
  <c r="M19" i="1"/>
  <c r="L19" i="1"/>
  <c r="L18" i="1"/>
  <c r="M18" i="1" s="1"/>
  <c r="L17" i="1"/>
  <c r="M17" i="1" s="1"/>
  <c r="M16" i="1"/>
  <c r="L16" i="1"/>
  <c r="L34" i="1" s="1"/>
  <c r="K13" i="1" s="1"/>
  <c r="M13" i="1" s="1"/>
  <c r="M3" i="1"/>
  <c r="M34" i="1" l="1"/>
</calcChain>
</file>

<file path=xl/sharedStrings.xml><?xml version="1.0" encoding="utf-8"?>
<sst xmlns="http://schemas.openxmlformats.org/spreadsheetml/2006/main" count="95" uniqueCount="85">
  <si>
    <t xml:space="preserve">INVOICE # </t>
  </si>
  <si>
    <t>Week ending</t>
  </si>
  <si>
    <t xml:space="preserve">Bill to: </t>
  </si>
  <si>
    <t>Blue Cross Blue Shield of Kansas</t>
  </si>
  <si>
    <t>Project Date:</t>
  </si>
  <si>
    <t>Attn:</t>
  </si>
  <si>
    <t>Chris Torrez</t>
  </si>
  <si>
    <t>Customer ID#</t>
  </si>
  <si>
    <t xml:space="preserve">            1st 0012</t>
  </si>
  <si>
    <t>1133 S.W. Topeka Blvd.</t>
  </si>
  <si>
    <t>Topeka, KS 66629-0001</t>
  </si>
  <si>
    <t>Phone #</t>
  </si>
  <si>
    <t>785-291-8681</t>
  </si>
  <si>
    <t>Fax#</t>
  </si>
  <si>
    <t>785-291-8548</t>
  </si>
  <si>
    <t>email:</t>
  </si>
  <si>
    <t>Chris.Torrez@bcbsks.com</t>
  </si>
  <si>
    <r>
      <t>Account Summary for Blue Cross/Blue Shield</t>
    </r>
    <r>
      <rPr>
        <sz val="10"/>
        <rFont val="Arial"/>
        <family val="2"/>
      </rPr>
      <t xml:space="preserve"> </t>
    </r>
  </si>
  <si>
    <t>Previous Acct. Balance</t>
  </si>
  <si>
    <r>
      <t>Funds</t>
    </r>
    <r>
      <rPr>
        <sz val="16"/>
        <rFont val="Arial"/>
        <family val="2"/>
      </rPr>
      <t xml:space="preserve">  </t>
    </r>
  </si>
  <si>
    <t>Deposit</t>
  </si>
  <si>
    <r>
      <t xml:space="preserve"> </t>
    </r>
    <r>
      <rPr>
        <sz val="22"/>
        <rFont val="Arial"/>
        <family val="2"/>
      </rPr>
      <t>Used</t>
    </r>
  </si>
  <si>
    <t>New Balance</t>
  </si>
  <si>
    <t>$</t>
  </si>
  <si>
    <t xml:space="preserve">2820 Roe Lane Bldg U </t>
  </si>
  <si>
    <t>Kansas City, KS 66103</t>
  </si>
  <si>
    <t>Weight</t>
  </si>
  <si>
    <t>1st Class</t>
  </si>
  <si>
    <r>
      <t xml:space="preserve">EFD </t>
    </r>
    <r>
      <rPr>
        <sz val="12"/>
        <rFont val="Arial"/>
        <family val="2"/>
      </rPr>
      <t>1st Class</t>
    </r>
  </si>
  <si>
    <t>Total #'s</t>
  </si>
  <si>
    <r>
      <t xml:space="preserve">IMB </t>
    </r>
    <r>
      <rPr>
        <sz val="12"/>
        <rFont val="Arial"/>
        <family val="2"/>
      </rPr>
      <t>rejects</t>
    </r>
  </si>
  <si>
    <t>Costs</t>
  </si>
  <si>
    <t>Savings</t>
  </si>
  <si>
    <t>1 oz</t>
  </si>
  <si>
    <t>phone</t>
  </si>
  <si>
    <t>913-671-0011</t>
  </si>
  <si>
    <t>2 oz</t>
  </si>
  <si>
    <t xml:space="preserve">fax </t>
  </si>
  <si>
    <t>913-403-9919</t>
  </si>
  <si>
    <t>3 oz</t>
  </si>
  <si>
    <t xml:space="preserve">email </t>
  </si>
  <si>
    <t>efdmailing@aol.com</t>
  </si>
  <si>
    <t>4 oz</t>
  </si>
  <si>
    <t>5 oz</t>
  </si>
  <si>
    <t xml:space="preserve"> </t>
  </si>
  <si>
    <t>6 oz</t>
  </si>
  <si>
    <t>7 oz</t>
  </si>
  <si>
    <t>8 oz</t>
  </si>
  <si>
    <t>9 oz</t>
  </si>
  <si>
    <t>10 oz</t>
  </si>
  <si>
    <t>11 oz</t>
  </si>
  <si>
    <t>12 oz</t>
  </si>
  <si>
    <t>13 oz</t>
  </si>
  <si>
    <t>Foreign</t>
  </si>
  <si>
    <t>Total Savings</t>
  </si>
  <si>
    <t>Total Pieces</t>
  </si>
  <si>
    <t>Total Cost:</t>
  </si>
  <si>
    <t xml:space="preserve">Cost Centers </t>
  </si>
  <si>
    <t xml:space="preserve"># Pieces </t>
  </si>
  <si>
    <t xml:space="preserve">Charges </t>
  </si>
  <si>
    <t xml:space="preserve">Savings </t>
  </si>
  <si>
    <t>A2280</t>
  </si>
  <si>
    <t>F5180</t>
  </si>
  <si>
    <t>S5180</t>
  </si>
  <si>
    <t>A2430</t>
  </si>
  <si>
    <t>B2430</t>
  </si>
  <si>
    <t>C2430</t>
  </si>
  <si>
    <t>D2430</t>
  </si>
  <si>
    <t>E2430</t>
  </si>
  <si>
    <t>A2810</t>
  </si>
  <si>
    <t>B2810</t>
  </si>
  <si>
    <t>A8230</t>
  </si>
  <si>
    <t>C8230</t>
  </si>
  <si>
    <t>B8600</t>
  </si>
  <si>
    <t>A4610</t>
  </si>
  <si>
    <t>C4610</t>
  </si>
  <si>
    <t>A9800</t>
  </si>
  <si>
    <t>A4660</t>
  </si>
  <si>
    <t>B4660</t>
  </si>
  <si>
    <t>D4660</t>
  </si>
  <si>
    <t>C4660</t>
  </si>
  <si>
    <t>A9850</t>
  </si>
  <si>
    <t>B9850</t>
  </si>
  <si>
    <t>A9870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</si>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</sst>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dd\-mmm\-yy"/>
  </numFmts>
  <fonts count="4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48"/>
      <name val="Haettenschweiler"/>
      <family val="2"/>
    </font>
    <font>
      <b/>
      <sz val="12"/>
      <name val="Arial Black"/>
      <family val="2"/>
    </font>
    <font>
      <b/>
      <sz val="16"/>
      <name val="Arial Black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b/>
      <sz val="20"/>
      <color indexed="1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2"/>
      <name val="Arial"/>
      <family val="2"/>
    </font>
    <font>
      <sz val="14"/>
      <name val="Arial"/>
      <family val="2"/>
    </font>
    <font>
      <b/>
      <sz val="16"/>
      <color indexed="10"/>
      <name val="Arial"/>
      <family val="2"/>
    </font>
    <font>
      <b/>
      <i/>
      <sz val="18"/>
      <name val="Arial"/>
      <family val="2"/>
    </font>
    <font>
      <b/>
      <i/>
      <sz val="16"/>
      <name val="Arial"/>
      <family val="2"/>
    </font>
    <font>
      <b/>
      <sz val="14"/>
      <color indexed="8"/>
      <name val="Arial"/>
      <family val="2"/>
    </font>
    <font>
      <b/>
      <i/>
      <sz val="10"/>
      <name val="Arial"/>
      <family val="2"/>
    </font>
    <font>
      <b/>
      <sz val="16"/>
      <color indexed="12"/>
      <name val="Arial"/>
      <family val="2"/>
    </font>
    <font>
      <sz val="12"/>
      <name val="Arial"/>
      <family val="2"/>
    </font>
    <font>
      <b/>
      <sz val="16"/>
      <color indexed="8"/>
      <name val="Arial"/>
      <family val="2"/>
    </font>
    <font>
      <b/>
      <sz val="16"/>
      <color indexed="17"/>
      <name val="Arial"/>
      <family val="2"/>
    </font>
    <font>
      <b/>
      <u/>
      <sz val="14"/>
      <color indexed="12"/>
      <name val="Arial"/>
      <family val="2"/>
    </font>
    <font>
      <b/>
      <sz val="14"/>
      <color indexed="10"/>
      <name val="Arial"/>
      <family val="2"/>
    </font>
    <font>
      <b/>
      <sz val="14"/>
      <name val="Arial Black"/>
      <family val="2"/>
    </font>
    <font>
      <b/>
      <sz val="16"/>
      <color indexed="9"/>
      <name val="Arial"/>
      <family val="2"/>
    </font>
    <font>
      <sz val="10"/>
      <color indexed="17"/>
      <name val="Arial"/>
      <family val="2"/>
    </font>
    <font>
      <b/>
      <sz val="14"/>
      <color rgb="FFFF0000"/>
      <name val="Arial"/>
      <family val="2"/>
    </font>
    <font>
      <sz val="16"/>
      <name val="Arial Black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sz val="12"/>
      <color indexed="9"/>
      <name val="Arial"/>
      <family val="2"/>
    </font>
    <font>
      <b/>
      <sz val="18"/>
      <name val="Arial Black"/>
      <family val="2"/>
    </font>
    <font>
      <b/>
      <sz val="18"/>
      <color indexed="8"/>
      <name val="Arial Black"/>
      <family val="2"/>
    </font>
    <font>
      <b/>
      <sz val="16"/>
      <color indexed="8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2" fillId="0" borderId="1" xfId="0" applyFont="1" applyBorder="1"/>
    <xf numFmtId="14" fontId="8" fillId="0" borderId="0" xfId="0" applyNumberFormat="1" applyFont="1" applyAlignment="1">
      <alignment horizontal="right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0" xfId="0" applyNumberFormat="1" applyFont="1" applyFill="1"/>
    <xf numFmtId="0" fontId="10" fillId="0" borderId="0" xfId="0" applyFont="1"/>
    <xf numFmtId="0" fontId="8" fillId="3" borderId="2" xfId="0" applyFont="1" applyFill="1" applyBorder="1"/>
    <xf numFmtId="0" fontId="8" fillId="3" borderId="3" xfId="0" applyFont="1" applyFill="1" applyBorder="1"/>
    <xf numFmtId="0" fontId="2" fillId="3" borderId="1" xfId="0" applyFont="1" applyFill="1" applyBorder="1"/>
    <xf numFmtId="15" fontId="8" fillId="0" borderId="0" xfId="0" applyNumberFormat="1" applyFont="1" applyAlignment="1">
      <alignment horizontal="right"/>
    </xf>
    <xf numFmtId="0" fontId="8" fillId="2" borderId="0" xfId="0" applyFont="1" applyFill="1"/>
    <xf numFmtId="14" fontId="9" fillId="2" borderId="0" xfId="0" applyNumberFormat="1" applyFont="1" applyFill="1"/>
    <xf numFmtId="0" fontId="8" fillId="3" borderId="4" xfId="0" applyFont="1" applyFill="1" applyBorder="1"/>
    <xf numFmtId="0" fontId="8" fillId="3" borderId="0" xfId="0" applyFont="1" applyFill="1"/>
    <xf numFmtId="0" fontId="8" fillId="3" borderId="5" xfId="0" applyFont="1" applyFill="1" applyBorder="1"/>
    <xf numFmtId="0" fontId="8" fillId="0" borderId="0" xfId="0" applyFont="1" applyAlignment="1">
      <alignment horizontal="right"/>
    </xf>
    <xf numFmtId="0" fontId="8" fillId="3" borderId="6" xfId="0" applyFont="1" applyFill="1" applyBorder="1"/>
    <xf numFmtId="0" fontId="2" fillId="3" borderId="5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2" fillId="3" borderId="9" xfId="0" applyFont="1" applyFill="1" applyBorder="1"/>
    <xf numFmtId="0" fontId="8" fillId="0" borderId="0" xfId="0" applyFont="1"/>
    <xf numFmtId="0" fontId="11" fillId="0" borderId="0" xfId="1" applyAlignment="1" applyProtection="1"/>
    <xf numFmtId="0" fontId="12" fillId="2" borderId="0" xfId="0" applyFont="1" applyFill="1" applyAlignment="1">
      <alignment horizontal="center"/>
    </xf>
    <xf numFmtId="0" fontId="2" fillId="2" borderId="10" xfId="0" applyFont="1" applyFill="1" applyBorder="1"/>
    <xf numFmtId="0" fontId="13" fillId="2" borderId="11" xfId="0" applyFont="1" applyFill="1" applyBorder="1"/>
    <xf numFmtId="0" fontId="14" fillId="2" borderId="11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2" fillId="0" borderId="0" xfId="0" applyFont="1"/>
    <xf numFmtId="0" fontId="15" fillId="0" borderId="0" xfId="0" applyFont="1"/>
    <xf numFmtId="0" fontId="7" fillId="0" borderId="0" xfId="0" applyFont="1"/>
    <xf numFmtId="8" fontId="7" fillId="2" borderId="0" xfId="0" applyNumberFormat="1" applyFont="1" applyFill="1"/>
    <xf numFmtId="3" fontId="18" fillId="0" borderId="10" xfId="0" applyNumberFormat="1" applyFont="1" applyBorder="1"/>
    <xf numFmtId="164" fontId="19" fillId="0" borderId="13" xfId="0" applyNumberFormat="1" applyFont="1" applyBorder="1"/>
    <xf numFmtId="164" fontId="3" fillId="0" borderId="2" xfId="0" applyNumberFormat="1" applyFont="1" applyBorder="1"/>
    <xf numFmtId="8" fontId="2" fillId="0" borderId="12" xfId="0" applyNumberFormat="1" applyFont="1" applyBorder="1"/>
    <xf numFmtId="3" fontId="16" fillId="0" borderId="10" xfId="0" applyNumberFormat="1" applyFont="1" applyBorder="1"/>
    <xf numFmtId="164" fontId="19" fillId="0" borderId="12" xfId="0" applyNumberFormat="1" applyFont="1" applyBorder="1"/>
    <xf numFmtId="3" fontId="16" fillId="0" borderId="0" xfId="0" applyNumberFormat="1" applyFont="1"/>
    <xf numFmtId="3" fontId="16" fillId="2" borderId="0" xfId="0" applyNumberFormat="1" applyFont="1" applyFill="1"/>
    <xf numFmtId="8" fontId="9" fillId="2" borderId="0" xfId="0" applyNumberFormat="1" applyFont="1" applyFill="1" applyAlignment="1">
      <alignment horizontal="right"/>
    </xf>
    <xf numFmtId="14" fontId="20" fillId="2" borderId="0" xfId="0" applyNumberFormat="1" applyFont="1" applyFill="1"/>
    <xf numFmtId="0" fontId="20" fillId="2" borderId="0" xfId="0" applyFont="1" applyFill="1"/>
    <xf numFmtId="0" fontId="21" fillId="2" borderId="0" xfId="0" applyFont="1" applyFill="1"/>
    <xf numFmtId="165" fontId="7" fillId="2" borderId="10" xfId="0" applyNumberFormat="1" applyFont="1" applyFill="1" applyBorder="1"/>
    <xf numFmtId="15" fontId="3" fillId="2" borderId="12" xfId="0" applyNumberFormat="1" applyFont="1" applyFill="1" applyBorder="1"/>
    <xf numFmtId="14" fontId="7" fillId="4" borderId="3" xfId="0" applyNumberFormat="1" applyFont="1" applyFill="1" applyBorder="1"/>
    <xf numFmtId="0" fontId="10" fillId="4" borderId="11" xfId="0" applyFont="1" applyFill="1" applyBorder="1"/>
    <xf numFmtId="0" fontId="20" fillId="4" borderId="11" xfId="0" applyFont="1" applyFill="1" applyBorder="1"/>
    <xf numFmtId="0" fontId="16" fillId="4" borderId="12" xfId="0" applyFont="1" applyFill="1" applyBorder="1"/>
    <xf numFmtId="0" fontId="22" fillId="2" borderId="0" xfId="0" applyFont="1" applyFill="1"/>
    <xf numFmtId="4" fontId="9" fillId="2" borderId="0" xfId="0" applyNumberFormat="1" applyFont="1" applyFill="1"/>
    <xf numFmtId="4" fontId="9" fillId="2" borderId="0" xfId="0" applyNumberFormat="1" applyFont="1" applyFill="1" applyAlignment="1">
      <alignment horizontal="right"/>
    </xf>
    <xf numFmtId="0" fontId="23" fillId="2" borderId="0" xfId="0" applyFont="1" applyFill="1"/>
    <xf numFmtId="0" fontId="3" fillId="0" borderId="6" xfId="0" applyFont="1" applyBorder="1"/>
    <xf numFmtId="0" fontId="24" fillId="2" borderId="0" xfId="0" applyFont="1" applyFill="1"/>
    <xf numFmtId="0" fontId="3" fillId="5" borderId="14" xfId="0" applyFont="1" applyFill="1" applyBorder="1"/>
    <xf numFmtId="0" fontId="3" fillId="5" borderId="15" xfId="0" applyFont="1" applyFill="1" applyBorder="1"/>
    <xf numFmtId="0" fontId="3" fillId="0" borderId="5" xfId="0" applyFont="1" applyBorder="1"/>
    <xf numFmtId="8" fontId="22" fillId="2" borderId="0" xfId="0" applyNumberFormat="1" applyFont="1" applyFill="1"/>
    <xf numFmtId="8" fontId="26" fillId="6" borderId="0" xfId="0" applyNumberFormat="1" applyFont="1" applyFill="1"/>
    <xf numFmtId="164" fontId="3" fillId="5" borderId="4" xfId="0" applyNumberFormat="1" applyFont="1" applyFill="1" applyBorder="1"/>
    <xf numFmtId="0" fontId="9" fillId="0" borderId="0" xfId="0" applyFont="1"/>
    <xf numFmtId="8" fontId="26" fillId="5" borderId="13" xfId="0" applyNumberFormat="1" applyFont="1" applyFill="1" applyBorder="1"/>
    <xf numFmtId="164" fontId="3" fillId="0" borderId="0" xfId="0" applyNumberFormat="1" applyFont="1"/>
    <xf numFmtId="8" fontId="27" fillId="0" borderId="5" xfId="0" applyNumberFormat="1" applyFont="1" applyBorder="1"/>
    <xf numFmtId="0" fontId="1" fillId="2" borderId="0" xfId="0" applyFont="1" applyFill="1"/>
    <xf numFmtId="14" fontId="7" fillId="2" borderId="0" xfId="0" applyNumberFormat="1" applyFont="1" applyFill="1"/>
    <xf numFmtId="164" fontId="3" fillId="6" borderId="0" xfId="0" applyNumberFormat="1" applyFont="1" applyFill="1"/>
    <xf numFmtId="164" fontId="3" fillId="5" borderId="15" xfId="0" applyNumberFormat="1" applyFont="1" applyFill="1" applyBorder="1"/>
    <xf numFmtId="164" fontId="3" fillId="5" borderId="13" xfId="0" applyNumberFormat="1" applyFont="1" applyFill="1" applyBorder="1"/>
    <xf numFmtId="8" fontId="9" fillId="2" borderId="0" xfId="0" applyNumberFormat="1" applyFont="1" applyFill="1"/>
    <xf numFmtId="164" fontId="22" fillId="2" borderId="0" xfId="0" applyNumberFormat="1" applyFont="1" applyFill="1" applyAlignment="1">
      <alignment horizontal="right"/>
    </xf>
    <xf numFmtId="0" fontId="28" fillId="2" borderId="0" xfId="1" applyFont="1" applyFill="1" applyAlignment="1" applyProtection="1"/>
    <xf numFmtId="8" fontId="29" fillId="2" borderId="0" xfId="0" applyNumberFormat="1" applyFont="1" applyFill="1"/>
    <xf numFmtId="0" fontId="22" fillId="2" borderId="0" xfId="0" applyFont="1" applyFill="1" applyAlignment="1">
      <alignment horizontal="right"/>
    </xf>
    <xf numFmtId="4" fontId="22" fillId="2" borderId="0" xfId="0" applyNumberFormat="1" applyFont="1" applyFill="1"/>
    <xf numFmtId="8" fontId="2" fillId="2" borderId="0" xfId="0" applyNumberFormat="1" applyFont="1" applyFill="1"/>
    <xf numFmtId="8" fontId="1" fillId="2" borderId="0" xfId="0" applyNumberFormat="1" applyFont="1" applyFill="1"/>
    <xf numFmtId="0" fontId="30" fillId="2" borderId="0" xfId="0" applyFont="1" applyFill="1"/>
    <xf numFmtId="0" fontId="10" fillId="2" borderId="0" xfId="0" applyFont="1" applyFill="1"/>
    <xf numFmtId="8" fontId="10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4" fontId="10" fillId="2" borderId="0" xfId="0" applyNumberFormat="1" applyFont="1" applyFill="1" applyAlignment="1">
      <alignment horizontal="left"/>
    </xf>
    <xf numFmtId="8" fontId="10" fillId="2" borderId="0" xfId="0" applyNumberFormat="1" applyFont="1" applyFill="1"/>
    <xf numFmtId="164" fontId="10" fillId="2" borderId="0" xfId="0" applyNumberFormat="1" applyFont="1" applyFill="1"/>
    <xf numFmtId="0" fontId="3" fillId="0" borderId="7" xfId="0" applyFont="1" applyBorder="1"/>
    <xf numFmtId="164" fontId="3" fillId="6" borderId="8" xfId="0" applyNumberFormat="1" applyFont="1" applyFill="1" applyBorder="1"/>
    <xf numFmtId="164" fontId="3" fillId="5" borderId="16" xfId="0" applyNumberFormat="1" applyFont="1" applyFill="1" applyBorder="1"/>
    <xf numFmtId="0" fontId="3" fillId="0" borderId="8" xfId="0" applyFont="1" applyBorder="1"/>
    <xf numFmtId="0" fontId="3" fillId="2" borderId="0" xfId="0" applyFont="1" applyFill="1"/>
    <xf numFmtId="0" fontId="31" fillId="2" borderId="0" xfId="0" applyFont="1" applyFill="1"/>
    <xf numFmtId="164" fontId="3" fillId="2" borderId="8" xfId="0" applyNumberFormat="1" applyFont="1" applyFill="1" applyBorder="1"/>
    <xf numFmtId="8" fontId="22" fillId="2" borderId="5" xfId="0" applyNumberFormat="1" applyFont="1" applyFill="1" applyBorder="1"/>
    <xf numFmtId="0" fontId="25" fillId="2" borderId="0" xfId="0" applyFont="1" applyFill="1"/>
    <xf numFmtId="0" fontId="22" fillId="0" borderId="10" xfId="0" applyFont="1" applyBorder="1"/>
    <xf numFmtId="0" fontId="3" fillId="2" borderId="12" xfId="0" applyFont="1" applyFill="1" applyBorder="1"/>
    <xf numFmtId="14" fontId="2" fillId="2" borderId="0" xfId="0" applyNumberFormat="1" applyFont="1" applyFill="1"/>
    <xf numFmtId="14" fontId="3" fillId="2" borderId="0" xfId="0" applyNumberFormat="1" applyFont="1" applyFill="1"/>
    <xf numFmtId="164" fontId="3" fillId="7" borderId="8" xfId="0" applyNumberFormat="1" applyFont="1" applyFill="1" applyBorder="1"/>
    <xf numFmtId="8" fontId="31" fillId="8" borderId="5" xfId="0" applyNumberFormat="1" applyFont="1" applyFill="1" applyBorder="1"/>
    <xf numFmtId="1" fontId="22" fillId="2" borderId="0" xfId="0" applyNumberFormat="1" applyFont="1" applyFill="1" applyAlignment="1">
      <alignment horizontal="right"/>
    </xf>
    <xf numFmtId="8" fontId="32" fillId="2" borderId="0" xfId="0" applyNumberFormat="1" applyFont="1" applyFill="1"/>
    <xf numFmtId="38" fontId="22" fillId="2" borderId="0" xfId="0" applyNumberFormat="1" applyFont="1" applyFill="1" applyAlignment="1">
      <alignment horizontal="right"/>
    </xf>
    <xf numFmtId="0" fontId="30" fillId="2" borderId="2" xfId="0" applyFont="1" applyFill="1" applyBorder="1"/>
    <xf numFmtId="0" fontId="6" fillId="2" borderId="15" xfId="0" applyFont="1" applyFill="1" applyBorder="1"/>
    <xf numFmtId="0" fontId="6" fillId="2" borderId="13" xfId="0" applyFont="1" applyFill="1" applyBorder="1"/>
    <xf numFmtId="0" fontId="7" fillId="2" borderId="13" xfId="0" applyFont="1" applyFill="1" applyBorder="1"/>
    <xf numFmtId="0" fontId="30" fillId="2" borderId="10" xfId="0" applyFont="1" applyFill="1" applyBorder="1" applyAlignment="1">
      <alignment horizontal="left"/>
    </xf>
    <xf numFmtId="0" fontId="2" fillId="0" borderId="12" xfId="0" applyFont="1" applyBorder="1"/>
    <xf numFmtId="0" fontId="7" fillId="2" borderId="15" xfId="0" applyFont="1" applyFill="1" applyBorder="1"/>
    <xf numFmtId="0" fontId="7" fillId="2" borderId="2" xfId="0" applyFont="1" applyFill="1" applyBorder="1" applyAlignment="1">
      <alignment horizontal="left"/>
    </xf>
    <xf numFmtId="0" fontId="2" fillId="2" borderId="11" xfId="0" applyFont="1" applyFill="1" applyBorder="1"/>
    <xf numFmtId="8" fontId="2" fillId="2" borderId="12" xfId="0" applyNumberFormat="1" applyFont="1" applyFill="1" applyBorder="1"/>
    <xf numFmtId="0" fontId="26" fillId="2" borderId="15" xfId="0" applyFont="1" applyFill="1" applyBorder="1"/>
    <xf numFmtId="164" fontId="26" fillId="2" borderId="2" xfId="0" applyNumberFormat="1" applyFont="1" applyFill="1" applyBorder="1" applyAlignment="1">
      <alignment horizontal="right"/>
    </xf>
    <xf numFmtId="164" fontId="26" fillId="2" borderId="15" xfId="0" applyNumberFormat="1" applyFont="1" applyFill="1" applyBorder="1" applyAlignment="1">
      <alignment horizontal="right"/>
    </xf>
    <xf numFmtId="0" fontId="7" fillId="2" borderId="10" xfId="0" applyFont="1" applyFill="1" applyBorder="1" applyAlignment="1">
      <alignment horizontal="left"/>
    </xf>
    <xf numFmtId="164" fontId="26" fillId="2" borderId="15" xfId="0" applyNumberFormat="1" applyFont="1" applyFill="1" applyBorder="1"/>
    <xf numFmtId="164" fontId="26" fillId="2" borderId="4" xfId="0" applyNumberFormat="1" applyFont="1" applyFill="1" applyBorder="1"/>
    <xf numFmtId="0" fontId="32" fillId="2" borderId="0" xfId="0" applyFont="1" applyFill="1" applyAlignment="1">
      <alignment horizontal="left"/>
    </xf>
    <xf numFmtId="0" fontId="22" fillId="2" borderId="0" xfId="0" applyFont="1" applyFill="1" applyAlignment="1">
      <alignment horizontal="left"/>
    </xf>
    <xf numFmtId="0" fontId="7" fillId="2" borderId="7" xfId="0" applyFont="1" applyFill="1" applyBorder="1" applyAlignment="1">
      <alignment horizontal="left"/>
    </xf>
    <xf numFmtId="0" fontId="22" fillId="2" borderId="9" xfId="0" applyFont="1" applyFill="1" applyBorder="1" applyAlignment="1">
      <alignment horizontal="right"/>
    </xf>
    <xf numFmtId="0" fontId="26" fillId="2" borderId="13" xfId="0" applyFont="1" applyFill="1" applyBorder="1"/>
    <xf numFmtId="164" fontId="26" fillId="2" borderId="13" xfId="0" applyNumberFormat="1" applyFont="1" applyFill="1" applyBorder="1"/>
    <xf numFmtId="0" fontId="7" fillId="2" borderId="6" xfId="0" applyFont="1" applyFill="1" applyBorder="1" applyAlignment="1">
      <alignment horizontal="left"/>
    </xf>
    <xf numFmtId="0" fontId="22" fillId="2" borderId="12" xfId="0" applyFont="1" applyFill="1" applyBorder="1" applyAlignment="1">
      <alignment horizontal="right"/>
    </xf>
    <xf numFmtId="0" fontId="26" fillId="2" borderId="4" xfId="0" applyFont="1" applyFill="1" applyBorder="1"/>
    <xf numFmtId="8" fontId="2" fillId="2" borderId="11" xfId="0" applyNumberFormat="1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2" fillId="2" borderId="5" xfId="0" applyFont="1" applyFill="1" applyBorder="1" applyAlignment="1">
      <alignment horizontal="right"/>
    </xf>
    <xf numFmtId="0" fontId="16" fillId="2" borderId="11" xfId="0" applyFont="1" applyFill="1" applyBorder="1"/>
    <xf numFmtId="0" fontId="16" fillId="2" borderId="12" xfId="0" applyFont="1" applyFill="1" applyBorder="1"/>
    <xf numFmtId="0" fontId="33" fillId="2" borderId="0" xfId="0" applyFont="1" applyFill="1"/>
    <xf numFmtId="2" fontId="22" fillId="2" borderId="0" xfId="0" applyNumberFormat="1" applyFont="1" applyFill="1" applyAlignment="1">
      <alignment horizontal="right"/>
    </xf>
    <xf numFmtId="0" fontId="2" fillId="2" borderId="12" xfId="0" applyFont="1" applyFill="1" applyBorder="1"/>
    <xf numFmtId="4" fontId="22" fillId="2" borderId="0" xfId="0" applyNumberFormat="1" applyFont="1" applyFill="1" applyAlignment="1">
      <alignment horizontal="right"/>
    </xf>
    <xf numFmtId="0" fontId="7" fillId="2" borderId="16" xfId="0" applyFont="1" applyFill="1" applyBorder="1" applyAlignment="1">
      <alignment horizontal="left"/>
    </xf>
    <xf numFmtId="0" fontId="2" fillId="2" borderId="5" xfId="0" applyFont="1" applyFill="1" applyBorder="1"/>
    <xf numFmtId="2" fontId="30" fillId="2" borderId="0" xfId="0" applyNumberFormat="1" applyFont="1" applyFill="1"/>
    <xf numFmtId="0" fontId="34" fillId="2" borderId="0" xfId="0" applyFont="1" applyFill="1" applyAlignment="1">
      <alignment horizontal="left"/>
    </xf>
    <xf numFmtId="1" fontId="22" fillId="2" borderId="12" xfId="0" applyNumberFormat="1" applyFont="1" applyFill="1" applyBorder="1" applyAlignment="1">
      <alignment horizontal="right"/>
    </xf>
    <xf numFmtId="2" fontId="5" fillId="2" borderId="0" xfId="0" applyNumberFormat="1" applyFont="1" applyFill="1"/>
    <xf numFmtId="164" fontId="5" fillId="2" borderId="0" xfId="0" applyNumberFormat="1" applyFont="1" applyFill="1"/>
    <xf numFmtId="4" fontId="5" fillId="2" borderId="0" xfId="0" applyNumberFormat="1" applyFont="1" applyFill="1"/>
    <xf numFmtId="0" fontId="5" fillId="2" borderId="0" xfId="0" applyFont="1" applyFill="1" applyAlignment="1">
      <alignment horizontal="left"/>
    </xf>
    <xf numFmtId="38" fontId="22" fillId="2" borderId="5" xfId="0" applyNumberFormat="1" applyFont="1" applyFill="1" applyBorder="1" applyAlignment="1">
      <alignment horizontal="right"/>
    </xf>
    <xf numFmtId="2" fontId="2" fillId="2" borderId="0" xfId="0" applyNumberFormat="1" applyFont="1" applyFill="1"/>
    <xf numFmtId="0" fontId="2" fillId="2" borderId="0" xfId="0" applyFont="1" applyFill="1" applyAlignment="1">
      <alignment horizontal="left"/>
    </xf>
    <xf numFmtId="38" fontId="22" fillId="2" borderId="12" xfId="0" applyNumberFormat="1" applyFont="1" applyFill="1" applyBorder="1" applyAlignment="1">
      <alignment horizontal="right"/>
    </xf>
    <xf numFmtId="0" fontId="7" fillId="2" borderId="17" xfId="0" applyFont="1" applyFill="1" applyBorder="1" applyAlignment="1">
      <alignment horizontal="left"/>
    </xf>
    <xf numFmtId="38" fontId="22" fillId="2" borderId="9" xfId="0" applyNumberFormat="1" applyFont="1" applyFill="1" applyBorder="1" applyAlignment="1">
      <alignment horizontal="right"/>
    </xf>
    <xf numFmtId="0" fontId="35" fillId="2" borderId="0" xfId="0" applyFont="1" applyFill="1" applyAlignment="1">
      <alignment horizontal="left"/>
    </xf>
    <xf numFmtId="8" fontId="35" fillId="2" borderId="0" xfId="0" applyNumberFormat="1" applyFont="1" applyFill="1"/>
    <xf numFmtId="0" fontId="36" fillId="2" borderId="0" xfId="0" applyFont="1" applyFill="1"/>
    <xf numFmtId="0" fontId="26" fillId="2" borderId="16" xfId="0" applyFont="1" applyFill="1" applyBorder="1"/>
    <xf numFmtId="164" fontId="26" fillId="2" borderId="16" xfId="0" applyNumberFormat="1" applyFont="1" applyFill="1" applyBorder="1"/>
    <xf numFmtId="0" fontId="8" fillId="2" borderId="12" xfId="0" applyFont="1" applyFill="1" applyBorder="1"/>
    <xf numFmtId="0" fontId="7" fillId="0" borderId="8" xfId="0" applyFont="1" applyBorder="1" applyAlignment="1">
      <alignment horizontal="left"/>
    </xf>
    <xf numFmtId="0" fontId="2" fillId="0" borderId="8" xfId="0" applyFont="1" applyBorder="1"/>
    <xf numFmtId="0" fontId="8" fillId="2" borderId="5" xfId="0" applyFont="1" applyFill="1" applyBorder="1"/>
    <xf numFmtId="0" fontId="8" fillId="2" borderId="0" xfId="0" applyFont="1" applyFill="1" applyAlignment="1">
      <alignment horizontal="left"/>
    </xf>
    <xf numFmtId="2" fontId="3" fillId="2" borderId="0" xfId="0" applyNumberFormat="1" applyFont="1" applyFill="1"/>
    <xf numFmtId="2" fontId="8" fillId="2" borderId="0" xfId="0" applyNumberFormat="1" applyFont="1" applyFill="1"/>
    <xf numFmtId="0" fontId="37" fillId="2" borderId="11" xfId="0" applyFont="1" applyFill="1" applyBorder="1"/>
    <xf numFmtId="0" fontId="37" fillId="2" borderId="12" xfId="0" applyFont="1" applyFill="1" applyBorder="1"/>
    <xf numFmtId="0" fontId="38" fillId="2" borderId="0" xfId="0" applyFont="1" applyFill="1"/>
    <xf numFmtId="0" fontId="37" fillId="2" borderId="7" xfId="0" applyFont="1" applyFill="1" applyBorder="1" applyAlignment="1">
      <alignment horizontal="left"/>
    </xf>
    <xf numFmtId="0" fontId="3" fillId="2" borderId="13" xfId="1" applyFont="1" applyFill="1" applyBorder="1" applyAlignment="1" applyProtection="1"/>
    <xf numFmtId="0" fontId="37" fillId="2" borderId="8" xfId="0" applyFont="1" applyFill="1" applyBorder="1"/>
    <xf numFmtId="0" fontId="37" fillId="2" borderId="9" xfId="0" applyFont="1" applyFill="1" applyBorder="1"/>
    <xf numFmtId="0" fontId="37" fillId="2" borderId="10" xfId="0" applyFont="1" applyFill="1" applyBorder="1" applyAlignment="1">
      <alignment horizontal="left"/>
    </xf>
    <xf numFmtId="0" fontId="37" fillId="2" borderId="0" xfId="0" applyFont="1" applyFill="1"/>
    <xf numFmtId="0" fontId="37" fillId="2" borderId="5" xfId="0" applyFont="1" applyFill="1" applyBorder="1"/>
    <xf numFmtId="0" fontId="37" fillId="2" borderId="6" xfId="0" applyFont="1" applyFill="1" applyBorder="1" applyAlignment="1">
      <alignment horizontal="left"/>
    </xf>
    <xf numFmtId="0" fontId="39" fillId="2" borderId="0" xfId="0" applyFont="1" applyFill="1" applyAlignment="1">
      <alignment horizontal="right"/>
    </xf>
    <xf numFmtId="0" fontId="37" fillId="2" borderId="2" xfId="0" applyFont="1" applyFill="1" applyBorder="1" applyAlignment="1">
      <alignment horizontal="left"/>
    </xf>
    <xf numFmtId="0" fontId="40" fillId="2" borderId="12" xfId="0" applyFont="1" applyFill="1" applyBorder="1" applyAlignment="1">
      <alignment horizontal="right"/>
    </xf>
    <xf numFmtId="0" fontId="26" fillId="2" borderId="0" xfId="0" applyFont="1" applyFill="1"/>
    <xf numFmtId="0" fontId="26" fillId="2" borderId="5" xfId="0" applyFont="1" applyFill="1" applyBorder="1"/>
    <xf numFmtId="0" fontId="26" fillId="2" borderId="11" xfId="0" applyFont="1" applyFill="1" applyBorder="1"/>
    <xf numFmtId="0" fontId="26" fillId="2" borderId="12" xfId="0" applyFont="1" applyFill="1" applyBorder="1"/>
    <xf numFmtId="0" fontId="26" fillId="2" borderId="8" xfId="0" applyFont="1" applyFill="1" applyBorder="1"/>
    <xf numFmtId="0" fontId="26" fillId="2" borderId="9" xfId="0" applyFont="1" applyFill="1" applyBorder="1"/>
    <xf numFmtId="0" fontId="6" fillId="2" borderId="0" xfId="0" applyFont="1" applyFill="1" applyAlignment="1">
      <alignment horizontal="right"/>
    </xf>
    <xf numFmtId="0" fontId="26" fillId="2" borderId="10" xfId="0" applyFont="1" applyFill="1" applyBorder="1" applyAlignment="1">
      <alignment horizontal="left"/>
    </xf>
    <xf numFmtId="0" fontId="40" fillId="2" borderId="5" xfId="0" applyFont="1" applyFill="1" applyBorder="1" applyAlignment="1">
      <alignment horizontal="right"/>
    </xf>
    <xf numFmtId="0" fontId="26" fillId="2" borderId="7" xfId="0" applyFont="1" applyFill="1" applyBorder="1" applyAlignment="1">
      <alignment horizontal="left"/>
    </xf>
    <xf numFmtId="0" fontId="41" fillId="2" borderId="12" xfId="0" applyFont="1" applyFill="1" applyBorder="1" applyAlignment="1">
      <alignment horizontal="right"/>
    </xf>
    <xf numFmtId="0" fontId="41" fillId="2" borderId="5" xfId="0" applyFont="1" applyFill="1" applyBorder="1" applyAlignment="1">
      <alignment horizontal="right"/>
    </xf>
    <xf numFmtId="0" fontId="26" fillId="2" borderId="6" xfId="0" applyFont="1" applyFill="1" applyBorder="1" applyAlignment="1">
      <alignment horizontal="left"/>
    </xf>
    <xf numFmtId="0" fontId="41" fillId="2" borderId="9" xfId="0" applyFont="1" applyFill="1" applyBorder="1" applyAlignment="1">
      <alignment horizontal="righ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164" fontId="26" fillId="2" borderId="13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41" fillId="2" borderId="1" xfId="0" applyFont="1" applyFill="1" applyBorder="1" applyAlignment="1">
      <alignment horizontal="right"/>
    </xf>
    <xf numFmtId="164" fontId="35" fillId="2" borderId="0" xfId="0" applyNumberFormat="1" applyFont="1" applyFill="1"/>
    <xf numFmtId="0" fontId="35" fillId="2" borderId="0" xfId="0" applyFont="1" applyFill="1"/>
    <xf numFmtId="164" fontId="2" fillId="0" borderId="0" xfId="0" applyNumberFormat="1" applyFont="1"/>
    <xf numFmtId="0" fontId="3" fillId="0" borderId="10" xfId="0" applyFont="1" applyBorder="1"/>
    <xf numFmtId="164" fontId="3" fillId="0" borderId="16" xfId="0" applyNumberFormat="1" applyFont="1" applyBorder="1"/>
    <xf numFmtId="164" fontId="2" fillId="2" borderId="0" xfId="0" applyNumberFormat="1" applyFont="1" applyFill="1"/>
    <xf numFmtId="0" fontId="39" fillId="2" borderId="10" xfId="0" applyFont="1" applyFill="1" applyBorder="1"/>
    <xf numFmtId="0" fontId="7" fillId="2" borderId="12" xfId="0" applyFont="1" applyFill="1" applyBorder="1"/>
    <xf numFmtId="0" fontId="39" fillId="2" borderId="10" xfId="0" applyFont="1" applyFill="1" applyBorder="1" applyAlignment="1">
      <alignment horizontal="right"/>
    </xf>
    <xf numFmtId="0" fontId="39" fillId="2" borderId="12" xfId="0" applyFont="1" applyFill="1" applyBorder="1" applyAlignment="1">
      <alignment horizontal="left"/>
    </xf>
    <xf numFmtId="0" fontId="39" fillId="0" borderId="10" xfId="0" applyFont="1" applyBorder="1" applyAlignment="1">
      <alignment horizontal="right"/>
    </xf>
    <xf numFmtId="0" fontId="39" fillId="0" borderId="12" xfId="0" applyFont="1" applyBorder="1"/>
    <xf numFmtId="1" fontId="3" fillId="2" borderId="10" xfId="0" applyNumberFormat="1" applyFont="1" applyFill="1" applyBorder="1"/>
    <xf numFmtId="164" fontId="3" fillId="2" borderId="10" xfId="0" applyNumberFormat="1" applyFont="1" applyFill="1" applyBorder="1"/>
    <xf numFmtId="0" fontId="2" fillId="2" borderId="7" xfId="0" applyFont="1" applyFill="1" applyBorder="1"/>
    <xf numFmtId="164" fontId="3" fillId="2" borderId="9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209550</xdr:rowOff>
    </xdr:from>
    <xdr:to>
      <xdr:col>11</xdr:col>
      <xdr:colOff>28575</xdr:colOff>
      <xdr:row>9</xdr:row>
      <xdr:rowOff>209550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F99C6165-D951-48E8-97F3-FDCED22A3A4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276850" y="209550"/>
          <a:ext cx="5724525" cy="2543175"/>
        </a:xfrm>
        <a:prstGeom prst="rect">
          <a:avLst/>
        </a:prstGeom>
      </xdr:spPr>
      <xdr:txBody>
        <a:bodyPr wrap="none" fromWordArt="1">
          <a:prstTxWarp prst="textDeflate">
            <a:avLst>
              <a:gd name="adj" fmla="val 26227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effectLst/>
              <a:latin typeface="Impact"/>
            </a:rPr>
            <a:t>EFD Mailing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F:\BC%20BS%20first%20cls%20flats%202025.xlsx" TargetMode="External"/><Relationship Id="rId2" Type="http://schemas.openxmlformats.org/officeDocument/2006/relationships/hyperlink" Target="mailto:Chris.Torrez@bcbsks.com" TargetMode="External"/><Relationship Id="rId1" Type="http://schemas.openxmlformats.org/officeDocument/2006/relationships/hyperlink" Target="mailto:efdmailing@ao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C907-E60E-476D-9C2A-423D7FBD35DD}">
  <dimension ref="A1:HH206"/>
  <sheetViews>
    <sheetView tabSelected="1" topLeftCell="A21" zoomScale="70" zoomScaleNormal="70" zoomScalePageLayoutView="70" workbookViewId="0">
      <selection activeCell="J37" sqref="J37:L97"/>
    </sheetView>
  </sheetViews>
  <sheetFormatPr defaultColWidth="9.140625" defaultRowHeight="12.75" x14ac:dyDescent="0.2"/>
  <cols>
    <col min="1" max="1" width="10.7109375" style="2" customWidth="1"/>
    <col min="2" max="2" width="6.7109375" style="2" customWidth="1"/>
    <col min="3" max="3" width="5.42578125" style="2" customWidth="1"/>
    <col min="4" max="4" width="16.85546875" style="2" customWidth="1"/>
    <col min="5" max="5" width="19.28515625" style="2" customWidth="1"/>
    <col min="6" max="6" width="19" style="2" customWidth="1"/>
    <col min="7" max="7" width="19.140625" style="2" customWidth="1"/>
    <col min="8" max="8" width="17.85546875" style="2" customWidth="1"/>
    <col min="9" max="9" width="14.85546875" style="2" customWidth="1"/>
    <col min="10" max="10" width="17.42578125" style="2" customWidth="1"/>
    <col min="11" max="11" width="17.28515625" style="2" customWidth="1"/>
    <col min="12" max="12" width="19.42578125" style="2" customWidth="1"/>
    <col min="13" max="13" width="21.7109375" style="2" customWidth="1"/>
    <col min="14" max="14" width="11.7109375" style="2" customWidth="1"/>
    <col min="15" max="15" width="23.7109375" style="2" customWidth="1"/>
    <col min="16" max="16" width="2.140625" style="2" customWidth="1"/>
    <col min="17" max="17" width="22.85546875" style="2" customWidth="1"/>
    <col min="18" max="18" width="11.140625" style="2" customWidth="1"/>
    <col min="19" max="19" width="13.28515625" style="2" customWidth="1"/>
    <col min="20" max="20" width="4.85546875" style="2" customWidth="1"/>
    <col min="21" max="21" width="14.42578125" style="2" customWidth="1"/>
    <col min="22" max="16384" width="9.140625" style="2"/>
  </cols>
  <sheetData>
    <row r="1" spans="1:22" ht="23.25" customHeight="1" x14ac:dyDescent="0.5">
      <c r="A1" s="1" t="s">
        <v>0</v>
      </c>
      <c r="C1" s="3">
        <v>5</v>
      </c>
      <c r="G1" s="4"/>
      <c r="H1" s="4"/>
      <c r="I1" s="4"/>
      <c r="J1" s="4"/>
      <c r="K1" s="4"/>
      <c r="L1" s="4"/>
      <c r="M1" s="4"/>
      <c r="N1" s="4"/>
      <c r="O1" s="5"/>
      <c r="P1" s="6"/>
      <c r="Q1" s="7"/>
      <c r="R1" s="6"/>
      <c r="S1" s="8"/>
      <c r="T1" s="6"/>
      <c r="U1" s="8"/>
      <c r="V1" s="9"/>
    </row>
    <row r="2" spans="1:22" ht="22.5" customHeight="1" thickBot="1" x14ac:dyDescent="0.4">
      <c r="M2" s="10" t="s">
        <v>1</v>
      </c>
      <c r="N2" s="6"/>
      <c r="O2" s="8"/>
      <c r="P2" s="11"/>
      <c r="Q2" s="12"/>
      <c r="R2" s="11"/>
      <c r="S2" s="13"/>
      <c r="T2" s="14"/>
      <c r="U2" s="13"/>
      <c r="V2" s="6"/>
    </row>
    <row r="3" spans="1:22" ht="21.75" customHeight="1" x14ac:dyDescent="0.35">
      <c r="A3" s="15" t="s">
        <v>2</v>
      </c>
      <c r="C3" s="16" t="s">
        <v>3</v>
      </c>
      <c r="D3" s="17"/>
      <c r="E3" s="17"/>
      <c r="F3" s="18"/>
      <c r="L3" s="1" t="s">
        <v>4</v>
      </c>
      <c r="M3" s="19">
        <f>F14</f>
        <v>46052</v>
      </c>
      <c r="N3" s="20"/>
      <c r="O3" s="8"/>
      <c r="P3" s="21"/>
      <c r="Q3" s="12"/>
      <c r="R3" s="11"/>
      <c r="S3" s="13"/>
      <c r="T3" s="14"/>
      <c r="U3" s="13"/>
      <c r="V3" s="6"/>
    </row>
    <row r="4" spans="1:22" ht="21.75" customHeight="1" x14ac:dyDescent="0.35">
      <c r="A4" s="15" t="s">
        <v>5</v>
      </c>
      <c r="C4" s="22" t="s">
        <v>6</v>
      </c>
      <c r="D4" s="23"/>
      <c r="E4" s="23"/>
      <c r="F4" s="24"/>
      <c r="L4" s="1" t="s">
        <v>7</v>
      </c>
      <c r="M4" s="25" t="s">
        <v>8</v>
      </c>
      <c r="N4" s="20"/>
      <c r="O4" s="8"/>
      <c r="P4" s="11"/>
      <c r="Q4" s="12"/>
      <c r="R4" s="11"/>
      <c r="S4" s="13"/>
      <c r="T4" s="14"/>
      <c r="U4" s="13"/>
      <c r="V4" s="6"/>
    </row>
    <row r="5" spans="1:22" ht="21.75" customHeight="1" x14ac:dyDescent="0.35">
      <c r="A5" s="15"/>
      <c r="C5" s="26" t="s">
        <v>9</v>
      </c>
      <c r="D5" s="23"/>
      <c r="E5" s="23"/>
      <c r="F5" s="27"/>
      <c r="N5" s="6"/>
      <c r="O5" s="8"/>
      <c r="P5" s="11"/>
      <c r="Q5" s="12"/>
      <c r="R5" s="11"/>
      <c r="S5" s="13"/>
      <c r="T5" s="14"/>
      <c r="U5" s="13"/>
      <c r="V5" s="6"/>
    </row>
    <row r="6" spans="1:22" ht="22.5" customHeight="1" thickBot="1" x14ac:dyDescent="0.4">
      <c r="A6" s="15"/>
      <c r="C6" s="28" t="s">
        <v>10</v>
      </c>
      <c r="D6" s="29"/>
      <c r="E6" s="29"/>
      <c r="F6" s="30"/>
      <c r="N6" s="6"/>
      <c r="O6" s="8"/>
      <c r="P6" s="11"/>
      <c r="Q6" s="12"/>
      <c r="R6" s="11"/>
      <c r="S6" s="13"/>
      <c r="T6" s="14"/>
      <c r="U6" s="13"/>
      <c r="V6" s="6"/>
    </row>
    <row r="7" spans="1:22" ht="21.75" customHeight="1" x14ac:dyDescent="0.35">
      <c r="A7" s="15"/>
      <c r="C7" s="31"/>
      <c r="D7" s="31"/>
      <c r="E7" s="31"/>
      <c r="N7" s="6"/>
      <c r="O7" s="8"/>
      <c r="P7" s="11"/>
      <c r="Q7" s="12"/>
      <c r="R7" s="11"/>
      <c r="S7" s="13"/>
      <c r="T7" s="14"/>
      <c r="U7" s="13"/>
      <c r="V7" s="6"/>
    </row>
    <row r="8" spans="1:22" ht="23.25" customHeight="1" x14ac:dyDescent="0.35">
      <c r="A8" s="15" t="s">
        <v>11</v>
      </c>
      <c r="C8" s="15" t="s">
        <v>12</v>
      </c>
      <c r="D8" s="31"/>
      <c r="E8" s="31"/>
      <c r="N8" s="6"/>
      <c r="O8" s="8"/>
      <c r="P8" s="11"/>
      <c r="Q8" s="12"/>
      <c r="R8" s="11"/>
      <c r="S8" s="13"/>
      <c r="T8" s="14"/>
      <c r="U8" s="13"/>
      <c r="V8" s="6"/>
    </row>
    <row r="9" spans="1:22" ht="21.75" customHeight="1" x14ac:dyDescent="0.35">
      <c r="A9" s="15" t="s">
        <v>13</v>
      </c>
      <c r="C9" s="15" t="s">
        <v>14</v>
      </c>
      <c r="D9" s="31"/>
      <c r="E9" s="31"/>
      <c r="O9" s="8"/>
      <c r="P9" s="11"/>
      <c r="Q9" s="12"/>
      <c r="R9" s="11"/>
      <c r="S9" s="13"/>
      <c r="T9" s="14"/>
      <c r="U9" s="13"/>
      <c r="V9" s="6"/>
    </row>
    <row r="10" spans="1:22" ht="22.5" customHeight="1" thickBot="1" x14ac:dyDescent="0.45">
      <c r="A10" s="15" t="s">
        <v>15</v>
      </c>
      <c r="C10" s="32" t="s">
        <v>16</v>
      </c>
      <c r="F10" s="6"/>
      <c r="G10" s="6"/>
      <c r="H10" s="6"/>
      <c r="I10" s="33"/>
      <c r="J10" s="33"/>
      <c r="K10" s="33"/>
      <c r="L10" s="6"/>
      <c r="M10" s="6"/>
      <c r="N10" s="6"/>
      <c r="O10" s="8"/>
      <c r="P10" s="11"/>
      <c r="Q10" s="12"/>
      <c r="R10" s="11"/>
      <c r="S10" s="13"/>
      <c r="T10" s="14"/>
      <c r="U10" s="13"/>
      <c r="V10" s="6"/>
    </row>
    <row r="11" spans="1:22" ht="21.75" customHeight="1" thickBot="1" x14ac:dyDescent="0.45">
      <c r="F11" s="6"/>
      <c r="G11" s="34"/>
      <c r="H11" s="35"/>
      <c r="I11" s="36" t="s">
        <v>17</v>
      </c>
      <c r="J11" s="37"/>
      <c r="K11" s="38"/>
      <c r="L11" s="39"/>
      <c r="M11" s="39"/>
      <c r="N11" s="39"/>
      <c r="O11" s="8"/>
      <c r="P11" s="11"/>
      <c r="Q11" s="12"/>
      <c r="R11" s="11"/>
      <c r="S11" s="13"/>
      <c r="T11" s="14"/>
      <c r="U11" s="13"/>
      <c r="V11" s="6"/>
    </row>
    <row r="12" spans="1:22" ht="23.25" customHeight="1" thickBot="1" x14ac:dyDescent="0.45">
      <c r="D12" s="40" t="s">
        <v>18</v>
      </c>
      <c r="G12" s="41" t="s">
        <v>19</v>
      </c>
      <c r="H12" s="41" t="s">
        <v>20</v>
      </c>
      <c r="J12" s="41" t="s">
        <v>19</v>
      </c>
      <c r="K12" s="3" t="s">
        <v>21</v>
      </c>
      <c r="L12" s="3"/>
      <c r="M12" s="42" t="s">
        <v>22</v>
      </c>
      <c r="O12" s="43"/>
      <c r="P12" s="11"/>
      <c r="Q12" s="12"/>
      <c r="R12" s="11"/>
      <c r="S12" s="13"/>
      <c r="T12" s="14"/>
      <c r="U12" s="13"/>
      <c r="V12" s="6"/>
    </row>
    <row r="13" spans="1:22" ht="22.5" customHeight="1" thickBot="1" x14ac:dyDescent="0.4">
      <c r="D13" s="44"/>
      <c r="E13" s="45">
        <v>-20647.64</v>
      </c>
      <c r="G13" s="46">
        <v>20647.64</v>
      </c>
      <c r="H13" s="47"/>
      <c r="J13" s="48" t="s">
        <v>23</v>
      </c>
      <c r="K13" s="49">
        <f>L34</f>
        <v>8423.380000000001</v>
      </c>
      <c r="L13" s="50"/>
      <c r="M13" s="45">
        <f>(E13+G13)-K13</f>
        <v>-8423.380000000001</v>
      </c>
      <c r="N13" s="51"/>
      <c r="O13" s="8"/>
      <c r="P13" s="14"/>
      <c r="Q13" s="52"/>
      <c r="R13" s="11"/>
      <c r="S13" s="13"/>
      <c r="T13" s="11"/>
      <c r="U13" s="13"/>
      <c r="V13" s="6"/>
    </row>
    <row r="14" spans="1:22" ht="22.5" customHeight="1" thickBot="1" x14ac:dyDescent="0.4">
      <c r="A14" s="11" t="s">
        <v>24</v>
      </c>
      <c r="B14" s="53"/>
      <c r="C14" s="53"/>
      <c r="D14" s="54"/>
      <c r="E14" s="55"/>
      <c r="F14" s="56">
        <v>46052</v>
      </c>
      <c r="G14" s="57"/>
      <c r="H14" s="58"/>
      <c r="I14" s="59"/>
      <c r="J14" s="59"/>
      <c r="K14" s="59"/>
      <c r="L14" s="60"/>
      <c r="M14" s="61"/>
      <c r="N14" s="6"/>
      <c r="O14" s="8"/>
      <c r="P14" s="62"/>
      <c r="Q14" s="12"/>
      <c r="R14" s="11"/>
      <c r="S14" s="13"/>
      <c r="T14" s="63"/>
      <c r="U14" s="64"/>
      <c r="V14" s="6"/>
    </row>
    <row r="15" spans="1:22" ht="24" customHeight="1" thickBot="1" x14ac:dyDescent="0.4">
      <c r="A15" s="11" t="s">
        <v>25</v>
      </c>
      <c r="B15" s="54"/>
      <c r="C15" s="54"/>
      <c r="D15" s="54"/>
      <c r="E15" s="65"/>
      <c r="F15" s="66" t="s">
        <v>26</v>
      </c>
      <c r="G15" s="67" t="s">
        <v>27</v>
      </c>
      <c r="H15" s="68" t="s">
        <v>28</v>
      </c>
      <c r="I15" s="3" t="s">
        <v>29</v>
      </c>
      <c r="J15" s="69" t="s">
        <v>30</v>
      </c>
      <c r="K15" s="3" t="s">
        <v>29</v>
      </c>
      <c r="L15" s="3" t="s">
        <v>31</v>
      </c>
      <c r="M15" s="70" t="s">
        <v>32</v>
      </c>
      <c r="N15" s="6"/>
      <c r="O15" s="8"/>
      <c r="P15" s="71"/>
      <c r="Q15" s="12"/>
      <c r="R15" s="11"/>
      <c r="S15" s="13"/>
      <c r="T15" s="63"/>
      <c r="U15" s="13"/>
      <c r="V15" s="6"/>
    </row>
    <row r="16" spans="1:22" ht="19.5" customHeight="1" thickBot="1" x14ac:dyDescent="0.4">
      <c r="A16" s="11"/>
      <c r="B16" s="54"/>
      <c r="C16" s="54"/>
      <c r="D16" s="54"/>
      <c r="E16" s="65"/>
      <c r="F16" s="66" t="s">
        <v>33</v>
      </c>
      <c r="G16" s="72">
        <v>1.63</v>
      </c>
      <c r="H16" s="73">
        <v>1.5299999999999998</v>
      </c>
      <c r="I16" s="74">
        <v>93</v>
      </c>
      <c r="J16" s="75">
        <v>1.63</v>
      </c>
      <c r="K16" s="3">
        <v>0</v>
      </c>
      <c r="L16" s="76">
        <f t="shared" ref="L16:L32" si="0">H16*I16+J16*K16</f>
        <v>142.29</v>
      </c>
      <c r="M16" s="77">
        <f t="shared" ref="M16:M32" si="1">G16*I16+G16*K16-L16</f>
        <v>9.3000000000000114</v>
      </c>
      <c r="N16" s="6"/>
      <c r="O16" s="43"/>
      <c r="P16" s="71"/>
      <c r="Q16" s="12"/>
      <c r="R16" s="11"/>
      <c r="S16" s="13"/>
      <c r="T16" s="63"/>
      <c r="U16" s="13"/>
      <c r="V16" s="6"/>
    </row>
    <row r="17" spans="1:22" ht="21.75" customHeight="1" thickBot="1" x14ac:dyDescent="0.4">
      <c r="A17" s="11" t="s">
        <v>34</v>
      </c>
      <c r="B17" s="78" t="s">
        <v>35</v>
      </c>
      <c r="C17" s="79"/>
      <c r="D17" s="54"/>
      <c r="E17" s="54"/>
      <c r="F17" s="66" t="s">
        <v>36</v>
      </c>
      <c r="G17" s="80">
        <v>1.9</v>
      </c>
      <c r="H17" s="73">
        <v>1.7999999999999998</v>
      </c>
      <c r="I17" s="74">
        <v>488</v>
      </c>
      <c r="J17" s="81">
        <v>1.9</v>
      </c>
      <c r="K17" s="3">
        <v>0</v>
      </c>
      <c r="L17" s="76">
        <f t="shared" si="0"/>
        <v>878.39999999999986</v>
      </c>
      <c r="M17" s="77">
        <f t="shared" si="1"/>
        <v>48.800000000000068</v>
      </c>
      <c r="N17" s="6"/>
      <c r="O17" s="43"/>
      <c r="P17" s="11"/>
      <c r="Q17" s="12"/>
      <c r="R17" s="11"/>
      <c r="S17" s="13"/>
      <c r="T17" s="63"/>
      <c r="U17" s="13"/>
      <c r="V17" s="6"/>
    </row>
    <row r="18" spans="1:22" ht="21.75" customHeight="1" thickBot="1" x14ac:dyDescent="0.4">
      <c r="A18" s="11" t="s">
        <v>37</v>
      </c>
      <c r="B18" s="78" t="s">
        <v>38</v>
      </c>
      <c r="C18" s="43"/>
      <c r="D18" s="54"/>
      <c r="E18" s="54"/>
      <c r="F18" s="66" t="s">
        <v>39</v>
      </c>
      <c r="G18" s="80">
        <v>2.17</v>
      </c>
      <c r="H18" s="73">
        <v>2.0699999999999998</v>
      </c>
      <c r="I18" s="74">
        <v>203</v>
      </c>
      <c r="J18" s="82">
        <v>2.17</v>
      </c>
      <c r="K18" s="3">
        <v>0</v>
      </c>
      <c r="L18" s="76">
        <f t="shared" si="0"/>
        <v>420.21</v>
      </c>
      <c r="M18" s="77">
        <f t="shared" si="1"/>
        <v>20.300000000000011</v>
      </c>
      <c r="N18" s="6"/>
      <c r="O18" s="43"/>
      <c r="P18" s="83"/>
      <c r="Q18" s="12"/>
      <c r="R18" s="11"/>
      <c r="S18" s="84"/>
      <c r="T18" s="63"/>
      <c r="U18" s="13"/>
      <c r="V18" s="6"/>
    </row>
    <row r="19" spans="1:22" ht="23.25" customHeight="1" thickBot="1" x14ac:dyDescent="0.4">
      <c r="A19" s="11" t="s">
        <v>40</v>
      </c>
      <c r="B19" s="85" t="s">
        <v>41</v>
      </c>
      <c r="C19" s="43"/>
      <c r="D19" s="54"/>
      <c r="E19" s="54"/>
      <c r="F19" s="66" t="s">
        <v>42</v>
      </c>
      <c r="G19" s="80">
        <v>2.44</v>
      </c>
      <c r="H19" s="73">
        <v>2.34</v>
      </c>
      <c r="I19" s="74">
        <v>342</v>
      </c>
      <c r="J19" s="73">
        <v>2.44</v>
      </c>
      <c r="K19" s="3">
        <v>0</v>
      </c>
      <c r="L19" s="76">
        <f t="shared" si="0"/>
        <v>800.28</v>
      </c>
      <c r="M19" s="77">
        <f t="shared" si="1"/>
        <v>34.200000000000045</v>
      </c>
      <c r="N19" s="6"/>
      <c r="O19" s="43"/>
      <c r="P19" s="86"/>
      <c r="Q19" s="87"/>
      <c r="R19" s="62"/>
      <c r="S19" s="84"/>
      <c r="T19" s="88"/>
      <c r="U19" s="84"/>
      <c r="V19" s="6"/>
    </row>
    <row r="20" spans="1:22" ht="22.5" customHeight="1" thickBot="1" x14ac:dyDescent="0.4">
      <c r="A20" s="6"/>
      <c r="B20" s="6"/>
      <c r="C20" s="89"/>
      <c r="D20" s="6"/>
      <c r="E20" s="6"/>
      <c r="F20" s="66" t="s">
        <v>43</v>
      </c>
      <c r="G20" s="80">
        <v>2.72</v>
      </c>
      <c r="H20" s="73">
        <v>2.62</v>
      </c>
      <c r="I20" s="74">
        <v>1068</v>
      </c>
      <c r="J20" s="82">
        <v>2.72</v>
      </c>
      <c r="K20" s="3">
        <v>0</v>
      </c>
      <c r="L20" s="76">
        <f t="shared" si="0"/>
        <v>2798.1600000000003</v>
      </c>
      <c r="M20" s="77">
        <f t="shared" si="1"/>
        <v>106.79999999999973</v>
      </c>
      <c r="N20" s="6"/>
      <c r="O20" s="43"/>
      <c r="P20" s="83"/>
      <c r="Q20" s="87"/>
      <c r="R20" s="62"/>
      <c r="S20" s="84"/>
      <c r="T20" s="88"/>
      <c r="U20" s="84"/>
      <c r="V20" s="6"/>
    </row>
    <row r="21" spans="1:22" ht="23.25" customHeight="1" thickBot="1" x14ac:dyDescent="0.4">
      <c r="A21" s="6"/>
      <c r="B21" s="6"/>
      <c r="C21" s="89"/>
      <c r="D21" s="6" t="s">
        <v>44</v>
      </c>
      <c r="E21" s="6"/>
      <c r="F21" s="66" t="s">
        <v>45</v>
      </c>
      <c r="G21" s="80">
        <v>3</v>
      </c>
      <c r="H21" s="73">
        <v>2.9</v>
      </c>
      <c r="I21" s="74">
        <v>143</v>
      </c>
      <c r="J21" s="73">
        <v>3</v>
      </c>
      <c r="K21" s="3">
        <v>0</v>
      </c>
      <c r="L21" s="76">
        <f t="shared" si="0"/>
        <v>414.7</v>
      </c>
      <c r="M21" s="77">
        <f t="shared" si="1"/>
        <v>14.300000000000011</v>
      </c>
      <c r="N21" s="6"/>
      <c r="O21" s="43"/>
      <c r="P21" s="83"/>
      <c r="Q21" s="87"/>
      <c r="R21" s="62"/>
      <c r="S21" s="84"/>
      <c r="T21" s="88"/>
      <c r="U21" s="84"/>
      <c r="V21" s="6"/>
    </row>
    <row r="22" spans="1:22" ht="23.25" customHeight="1" thickBot="1" x14ac:dyDescent="0.4">
      <c r="A22" s="78"/>
      <c r="B22" s="78"/>
      <c r="C22" s="90"/>
      <c r="D22" s="78"/>
      <c r="E22" s="78"/>
      <c r="F22" s="66" t="s">
        <v>46</v>
      </c>
      <c r="G22" s="80">
        <v>3.28</v>
      </c>
      <c r="H22" s="73">
        <v>3.1799999999999997</v>
      </c>
      <c r="I22" s="74">
        <v>124</v>
      </c>
      <c r="J22" s="82">
        <v>3.28</v>
      </c>
      <c r="K22" s="3">
        <v>1</v>
      </c>
      <c r="L22" s="76">
        <f t="shared" si="0"/>
        <v>397.59999999999991</v>
      </c>
      <c r="M22" s="77">
        <f t="shared" si="1"/>
        <v>12.400000000000034</v>
      </c>
      <c r="N22" s="6"/>
      <c r="O22" s="43"/>
      <c r="P22" s="83"/>
      <c r="Q22" s="87"/>
      <c r="R22" s="62"/>
      <c r="S22" s="84"/>
      <c r="T22" s="88"/>
      <c r="U22" s="84"/>
      <c r="V22" s="6"/>
    </row>
    <row r="23" spans="1:22" ht="23.25" customHeight="1" thickBot="1" x14ac:dyDescent="0.4">
      <c r="A23" s="78"/>
      <c r="B23" s="78"/>
      <c r="C23" s="78"/>
      <c r="D23" s="78"/>
      <c r="E23" s="78"/>
      <c r="F23" s="66" t="s">
        <v>47</v>
      </c>
      <c r="G23" s="80">
        <v>3.56</v>
      </c>
      <c r="H23" s="73">
        <v>3.46</v>
      </c>
      <c r="I23" s="74">
        <v>179</v>
      </c>
      <c r="J23" s="73">
        <v>3.56</v>
      </c>
      <c r="K23" s="3">
        <v>0</v>
      </c>
      <c r="L23" s="76">
        <f t="shared" si="0"/>
        <v>619.34</v>
      </c>
      <c r="M23" s="77">
        <f t="shared" si="1"/>
        <v>17.899999999999977</v>
      </c>
      <c r="N23" s="6"/>
      <c r="O23" s="43"/>
      <c r="P23" s="11"/>
      <c r="Q23" s="87"/>
      <c r="R23" s="62"/>
      <c r="S23" s="84"/>
      <c r="T23" s="88"/>
      <c r="U23" s="84"/>
      <c r="V23" s="6"/>
    </row>
    <row r="24" spans="1:22" ht="23.25" customHeight="1" thickBot="1" x14ac:dyDescent="0.4">
      <c r="A24" s="78"/>
      <c r="B24" s="78"/>
      <c r="C24" s="78"/>
      <c r="D24" s="78"/>
      <c r="E24" s="78"/>
      <c r="F24" s="66" t="s">
        <v>48</v>
      </c>
      <c r="G24" s="80">
        <v>3.84</v>
      </c>
      <c r="H24" s="73">
        <v>3.7399999999999998</v>
      </c>
      <c r="I24" s="74">
        <v>44</v>
      </c>
      <c r="J24" s="82">
        <v>3.84</v>
      </c>
      <c r="K24" s="3">
        <v>0</v>
      </c>
      <c r="L24" s="76">
        <f t="shared" si="0"/>
        <v>164.56</v>
      </c>
      <c r="M24" s="77">
        <f t="shared" si="1"/>
        <v>4.3999999999999773</v>
      </c>
      <c r="N24" s="6"/>
      <c r="O24" s="43"/>
      <c r="P24" s="11"/>
      <c r="Q24" s="87"/>
      <c r="R24" s="62"/>
      <c r="S24" s="84"/>
      <c r="T24" s="88"/>
      <c r="U24" s="84"/>
      <c r="V24" s="6"/>
    </row>
    <row r="25" spans="1:22" ht="22.5" customHeight="1" thickBot="1" x14ac:dyDescent="0.5">
      <c r="A25" s="91"/>
      <c r="B25" s="6"/>
      <c r="C25" s="6"/>
      <c r="D25" s="6"/>
      <c r="E25" s="6"/>
      <c r="F25" s="66" t="s">
        <v>49</v>
      </c>
      <c r="G25" s="80">
        <v>4.1399999999999997</v>
      </c>
      <c r="H25" s="73">
        <v>4.04</v>
      </c>
      <c r="I25" s="74">
        <v>48</v>
      </c>
      <c r="J25" s="73">
        <v>4.1399999999999997</v>
      </c>
      <c r="K25" s="3">
        <v>0</v>
      </c>
      <c r="L25" s="76">
        <f t="shared" si="0"/>
        <v>193.92000000000002</v>
      </c>
      <c r="M25" s="77">
        <f t="shared" si="1"/>
        <v>4.7999999999999545</v>
      </c>
      <c r="N25" s="6"/>
      <c r="O25" s="43"/>
      <c r="P25" s="11"/>
      <c r="Q25" s="87"/>
      <c r="R25" s="62"/>
      <c r="S25" s="84"/>
      <c r="T25" s="88"/>
      <c r="U25" s="84"/>
      <c r="V25" s="6"/>
    </row>
    <row r="26" spans="1:22" ht="22.5" customHeight="1" thickBot="1" x14ac:dyDescent="0.5">
      <c r="A26" s="91"/>
      <c r="B26" s="91"/>
      <c r="C26" s="91"/>
      <c r="D26" s="91"/>
      <c r="E26" s="91"/>
      <c r="F26" s="66" t="s">
        <v>50</v>
      </c>
      <c r="G26" s="80">
        <v>4.4400000000000004</v>
      </c>
      <c r="H26" s="73">
        <v>4.3400000000000007</v>
      </c>
      <c r="I26" s="74">
        <v>135</v>
      </c>
      <c r="J26" s="82">
        <v>4.4400000000000004</v>
      </c>
      <c r="K26" s="3">
        <v>0</v>
      </c>
      <c r="L26" s="76">
        <f t="shared" si="0"/>
        <v>585.90000000000009</v>
      </c>
      <c r="M26" s="77">
        <f t="shared" si="1"/>
        <v>13.5</v>
      </c>
      <c r="N26" s="6"/>
      <c r="O26" s="43"/>
      <c r="P26" s="11"/>
      <c r="Q26" s="87"/>
      <c r="R26" s="62"/>
      <c r="S26" s="84"/>
      <c r="T26" s="88"/>
      <c r="U26" s="84"/>
      <c r="V26" s="6"/>
    </row>
    <row r="27" spans="1:22" ht="22.5" customHeight="1" thickBot="1" x14ac:dyDescent="0.55000000000000004">
      <c r="A27" s="7"/>
      <c r="B27" s="92"/>
      <c r="C27" s="92"/>
      <c r="D27" s="93"/>
      <c r="E27" s="93"/>
      <c r="F27" s="66" t="s">
        <v>51</v>
      </c>
      <c r="G27" s="80">
        <v>4.74</v>
      </c>
      <c r="H27" s="73">
        <v>4.6400000000000006</v>
      </c>
      <c r="I27" s="74">
        <v>65</v>
      </c>
      <c r="J27" s="73">
        <v>4.74</v>
      </c>
      <c r="K27" s="3">
        <v>0</v>
      </c>
      <c r="L27" s="76">
        <f t="shared" si="0"/>
        <v>301.60000000000002</v>
      </c>
      <c r="M27" s="77">
        <f t="shared" si="1"/>
        <v>6.5</v>
      </c>
      <c r="N27" s="6"/>
      <c r="O27" s="43"/>
      <c r="P27" s="11"/>
      <c r="Q27" s="87"/>
      <c r="R27" s="62"/>
      <c r="S27" s="84"/>
      <c r="T27" s="88"/>
      <c r="U27" s="84"/>
      <c r="V27" s="6"/>
    </row>
    <row r="28" spans="1:22" ht="21.75" customHeight="1" thickBot="1" x14ac:dyDescent="0.4">
      <c r="A28" s="92"/>
      <c r="B28" s="92"/>
      <c r="C28" s="92"/>
      <c r="D28" s="93"/>
      <c r="E28" s="93"/>
      <c r="F28" s="66" t="s">
        <v>52</v>
      </c>
      <c r="G28" s="80">
        <v>5.04</v>
      </c>
      <c r="H28" s="73">
        <v>4.9400000000000004</v>
      </c>
      <c r="I28" s="74">
        <v>143</v>
      </c>
      <c r="J28" s="82">
        <v>5.04</v>
      </c>
      <c r="K28" s="3">
        <v>0</v>
      </c>
      <c r="L28" s="76">
        <f t="shared" si="0"/>
        <v>706.42000000000007</v>
      </c>
      <c r="M28" s="77">
        <f t="shared" si="1"/>
        <v>14.299999999999955</v>
      </c>
      <c r="N28" s="6"/>
      <c r="O28" s="43"/>
      <c r="P28" s="11"/>
      <c r="Q28" s="87"/>
      <c r="R28" s="62"/>
      <c r="S28" s="84"/>
      <c r="T28" s="88"/>
      <c r="U28" s="84"/>
      <c r="V28" s="6"/>
    </row>
    <row r="29" spans="1:22" ht="22.5" customHeight="1" thickBot="1" x14ac:dyDescent="0.4">
      <c r="A29" s="92"/>
      <c r="B29" s="92"/>
      <c r="C29" s="92"/>
      <c r="D29" s="93"/>
      <c r="E29" s="93"/>
      <c r="F29" s="66"/>
      <c r="G29" s="80"/>
      <c r="H29" s="82"/>
      <c r="I29" s="74"/>
      <c r="J29" s="82"/>
      <c r="K29" s="3"/>
      <c r="L29" s="76">
        <f t="shared" si="0"/>
        <v>0</v>
      </c>
      <c r="M29" s="77">
        <f t="shared" si="1"/>
        <v>0</v>
      </c>
      <c r="N29" s="6"/>
      <c r="O29" s="94"/>
      <c r="P29" s="11"/>
      <c r="Q29" s="87"/>
      <c r="R29" s="62"/>
      <c r="S29" s="84"/>
      <c r="T29" s="88"/>
      <c r="U29" s="84"/>
      <c r="V29" s="6"/>
    </row>
    <row r="30" spans="1:22" ht="21.75" customHeight="1" thickBot="1" x14ac:dyDescent="0.4">
      <c r="A30" s="92"/>
      <c r="B30" s="92"/>
      <c r="C30" s="92"/>
      <c r="D30" s="95"/>
      <c r="E30" s="95"/>
      <c r="F30" s="66"/>
      <c r="G30" s="80"/>
      <c r="H30" s="73"/>
      <c r="I30" s="74"/>
      <c r="J30" s="82"/>
      <c r="K30" s="3"/>
      <c r="L30" s="76">
        <f t="shared" si="0"/>
        <v>0</v>
      </c>
      <c r="M30" s="77">
        <f t="shared" si="1"/>
        <v>0</v>
      </c>
      <c r="N30" s="6"/>
      <c r="O30" s="94"/>
      <c r="P30" s="11"/>
      <c r="Q30" s="87"/>
      <c r="R30" s="62"/>
      <c r="S30" s="84"/>
      <c r="T30" s="88"/>
      <c r="U30" s="84"/>
      <c r="V30" s="6"/>
    </row>
    <row r="31" spans="1:22" ht="22.5" customHeight="1" thickBot="1" x14ac:dyDescent="0.4">
      <c r="A31" s="11"/>
      <c r="B31" s="6"/>
      <c r="C31" s="6"/>
      <c r="D31" s="96"/>
      <c r="E31" s="96"/>
      <c r="F31" s="66"/>
      <c r="G31" s="80"/>
      <c r="H31" s="82"/>
      <c r="I31" s="74"/>
      <c r="J31" s="82"/>
      <c r="K31" s="3"/>
      <c r="L31" s="76">
        <f t="shared" si="0"/>
        <v>0</v>
      </c>
      <c r="M31" s="77">
        <f t="shared" si="1"/>
        <v>0</v>
      </c>
      <c r="N31" s="6"/>
      <c r="O31" s="94"/>
      <c r="P31" s="11"/>
      <c r="Q31" s="87"/>
      <c r="R31" s="62"/>
      <c r="S31" s="84"/>
      <c r="T31" s="88"/>
      <c r="U31" s="84"/>
      <c r="V31" s="6"/>
    </row>
    <row r="32" spans="1:22" ht="22.5" customHeight="1" thickBot="1" x14ac:dyDescent="0.4">
      <c r="A32" s="92"/>
      <c r="B32" s="92"/>
      <c r="C32" s="92"/>
      <c r="D32" s="97"/>
      <c r="E32" s="97"/>
      <c r="F32" s="98" t="s">
        <v>53</v>
      </c>
      <c r="G32" s="99">
        <v>10.1</v>
      </c>
      <c r="H32" s="100">
        <v>10</v>
      </c>
      <c r="I32" s="74"/>
      <c r="J32" s="100"/>
      <c r="K32" s="101"/>
      <c r="L32" s="76">
        <f t="shared" si="0"/>
        <v>0</v>
      </c>
      <c r="M32" s="77">
        <f t="shared" si="1"/>
        <v>0</v>
      </c>
      <c r="N32" s="6"/>
      <c r="O32" s="94"/>
      <c r="P32" s="11"/>
      <c r="Q32" s="87"/>
      <c r="R32" s="62"/>
      <c r="S32" s="84"/>
      <c r="T32" s="88"/>
      <c r="U32" s="84"/>
      <c r="V32" s="6"/>
    </row>
    <row r="33" spans="1:22" ht="22.5" customHeight="1" thickBot="1" x14ac:dyDescent="0.4">
      <c r="A33" s="92"/>
      <c r="B33" s="92"/>
      <c r="C33" s="92"/>
      <c r="D33" s="92"/>
      <c r="E33" s="92"/>
      <c r="G33" s="102"/>
      <c r="H33" s="74"/>
      <c r="I33" s="103">
        <f>SUM(I16:I32)</f>
        <v>3075</v>
      </c>
      <c r="J33" s="102"/>
      <c r="K33" s="103">
        <f>SUM(K16:K32)</f>
        <v>1</v>
      </c>
      <c r="L33" s="104"/>
      <c r="M33" s="105" t="s">
        <v>54</v>
      </c>
      <c r="N33" s="6"/>
      <c r="O33" s="94"/>
      <c r="P33" s="11"/>
      <c r="Q33" s="87"/>
      <c r="R33" s="62"/>
      <c r="S33" s="84"/>
      <c r="T33" s="88"/>
      <c r="U33" s="84"/>
      <c r="V33" s="6"/>
    </row>
    <row r="34" spans="1:22" ht="22.5" customHeight="1" thickBot="1" x14ac:dyDescent="0.4">
      <c r="A34" s="11"/>
      <c r="B34" s="6"/>
      <c r="C34" s="6"/>
      <c r="D34" s="96"/>
      <c r="E34" s="96"/>
      <c r="F34" s="6"/>
      <c r="G34" s="106"/>
      <c r="H34" s="107" t="s">
        <v>55</v>
      </c>
      <c r="I34" s="108">
        <f>SUM(I33+K33)</f>
        <v>3076</v>
      </c>
      <c r="J34" s="109"/>
      <c r="K34" s="110" t="s">
        <v>56</v>
      </c>
      <c r="L34" s="111">
        <f>SUM(L16:L33)</f>
        <v>8423.380000000001</v>
      </c>
      <c r="M34" s="112">
        <f>SUM(M16:M33)</f>
        <v>307.49999999999977</v>
      </c>
      <c r="N34" s="6"/>
      <c r="O34" s="94"/>
      <c r="P34" s="11"/>
      <c r="Q34" s="113"/>
      <c r="R34" s="62"/>
      <c r="S34" s="84"/>
      <c r="T34" s="88"/>
      <c r="U34" s="84"/>
      <c r="V34" s="6"/>
    </row>
    <row r="35" spans="1:22" ht="22.5" customHeight="1" thickBot="1" x14ac:dyDescent="0.4">
      <c r="A35" s="6"/>
      <c r="B35" s="6"/>
      <c r="C35" s="89"/>
      <c r="D35" s="6"/>
      <c r="E35" s="6"/>
      <c r="F35" s="6"/>
      <c r="G35" s="6"/>
      <c r="H35" s="3"/>
      <c r="I35" s="89"/>
      <c r="J35" s="89"/>
      <c r="K35" s="89"/>
      <c r="L35" s="6"/>
      <c r="M35" s="6"/>
      <c r="N35" s="114"/>
      <c r="O35" s="94"/>
      <c r="P35" s="11"/>
      <c r="Q35" s="115"/>
      <c r="R35" s="62"/>
      <c r="S35" s="84"/>
      <c r="T35" s="88"/>
      <c r="U35" s="84"/>
      <c r="V35" s="6"/>
    </row>
    <row r="36" spans="1:22" ht="22.5" customHeight="1" thickBot="1" x14ac:dyDescent="0.55000000000000004">
      <c r="A36" s="116" t="s">
        <v>57</v>
      </c>
      <c r="B36" s="9"/>
      <c r="C36" s="117"/>
      <c r="D36" s="118" t="s">
        <v>58</v>
      </c>
      <c r="E36" s="119" t="s">
        <v>59</v>
      </c>
      <c r="F36" s="119" t="s">
        <v>60</v>
      </c>
      <c r="G36" s="8"/>
      <c r="H36" s="120" t="s">
        <v>57</v>
      </c>
      <c r="I36" s="121"/>
      <c r="J36" s="117" t="s">
        <v>58</v>
      </c>
      <c r="K36" s="122" t="s">
        <v>59</v>
      </c>
      <c r="L36" s="119" t="s">
        <v>60</v>
      </c>
      <c r="M36" s="6"/>
      <c r="N36" s="114"/>
      <c r="O36" s="94"/>
      <c r="P36" s="11"/>
      <c r="Q36" s="115"/>
      <c r="R36" s="62"/>
      <c r="S36" s="84"/>
      <c r="T36" s="88"/>
      <c r="U36" s="84"/>
      <c r="V36" s="6"/>
    </row>
    <row r="37" spans="1:22" ht="22.5" customHeight="1" thickBot="1" x14ac:dyDescent="0.4">
      <c r="A37" s="123">
        <v>2020</v>
      </c>
      <c r="B37" s="124"/>
      <c r="C37" s="125"/>
      <c r="D37" s="126">
        <v>1</v>
      </c>
      <c r="E37" s="127">
        <v>3.1799999999999997</v>
      </c>
      <c r="F37" s="128">
        <v>0.1</v>
      </c>
      <c r="G37" s="6"/>
      <c r="H37" s="129">
        <v>5040</v>
      </c>
      <c r="I37" s="121"/>
      <c r="J37" s="126">
        <v>0</v>
      </c>
      <c r="K37" s="130">
        <v>0</v>
      </c>
      <c r="L37" s="131">
        <v>0</v>
      </c>
      <c r="M37" s="8"/>
      <c r="N37" s="132"/>
      <c r="O37" s="94"/>
      <c r="P37" s="11"/>
      <c r="Q37" s="115"/>
      <c r="R37" s="62"/>
      <c r="S37" s="84"/>
      <c r="T37" s="88"/>
      <c r="U37" s="133"/>
      <c r="V37" s="6"/>
    </row>
    <row r="38" spans="1:22" ht="24" thickBot="1" x14ac:dyDescent="0.4">
      <c r="A38" s="129">
        <v>2150</v>
      </c>
      <c r="B38" s="6"/>
      <c r="C38" s="89"/>
      <c r="D38" s="126">
        <v>1</v>
      </c>
      <c r="E38" s="127">
        <v>2.0699999999999998</v>
      </c>
      <c r="F38" s="128">
        <v>0.1</v>
      </c>
      <c r="G38" s="6"/>
      <c r="H38" s="134">
        <v>5070</v>
      </c>
      <c r="I38" s="135"/>
      <c r="J38" s="136">
        <v>0</v>
      </c>
      <c r="K38" s="137">
        <v>0</v>
      </c>
      <c r="L38" s="137">
        <v>0</v>
      </c>
      <c r="M38" s="6"/>
      <c r="N38" s="132"/>
      <c r="O38" s="94"/>
      <c r="P38" s="11"/>
      <c r="Q38" s="115"/>
      <c r="R38" s="62"/>
      <c r="S38" s="84"/>
      <c r="T38" s="88"/>
      <c r="U38" s="133"/>
      <c r="V38" s="6"/>
    </row>
    <row r="39" spans="1:22" ht="24" thickBot="1" x14ac:dyDescent="0.4">
      <c r="A39" s="129">
        <v>2180</v>
      </c>
      <c r="B39" s="124"/>
      <c r="C39" s="125"/>
      <c r="D39" s="126">
        <v>0</v>
      </c>
      <c r="E39" s="127">
        <v>0</v>
      </c>
      <c r="F39" s="128">
        <v>0</v>
      </c>
      <c r="G39" s="6"/>
      <c r="H39" s="138">
        <v>5120</v>
      </c>
      <c r="I39" s="139"/>
      <c r="J39" s="140">
        <v>0</v>
      </c>
      <c r="K39" s="131">
        <v>0</v>
      </c>
      <c r="L39" s="131">
        <v>0</v>
      </c>
      <c r="M39" s="6"/>
      <c r="N39" s="132"/>
      <c r="O39" s="94"/>
      <c r="P39" s="11"/>
      <c r="Q39" s="115"/>
      <c r="R39" s="62"/>
      <c r="S39" s="84"/>
      <c r="T39" s="88"/>
      <c r="U39" s="133"/>
      <c r="V39" s="6"/>
    </row>
    <row r="40" spans="1:22" ht="24" thickBot="1" x14ac:dyDescent="0.4">
      <c r="A40" s="129">
        <v>2240</v>
      </c>
      <c r="B40" s="124"/>
      <c r="C40" s="141"/>
      <c r="D40" s="126">
        <v>17</v>
      </c>
      <c r="E40" s="127">
        <v>36.029999999999994</v>
      </c>
      <c r="F40" s="128">
        <v>1.7000000000000002</v>
      </c>
      <c r="G40" s="6"/>
      <c r="H40" s="129">
        <v>5160</v>
      </c>
      <c r="I40" s="135"/>
      <c r="J40" s="136">
        <v>0</v>
      </c>
      <c r="K40" s="137">
        <v>0</v>
      </c>
      <c r="L40" s="137">
        <v>0</v>
      </c>
      <c r="M40" s="6"/>
      <c r="N40" s="132"/>
      <c r="O40" s="94"/>
      <c r="P40" s="11"/>
      <c r="Q40" s="115"/>
      <c r="R40" s="62"/>
      <c r="S40" s="84"/>
      <c r="T40" s="88"/>
      <c r="U40" s="133"/>
      <c r="V40" s="6"/>
    </row>
    <row r="41" spans="1:22" ht="24" thickBot="1" x14ac:dyDescent="0.4">
      <c r="A41" s="138" t="s">
        <v>61</v>
      </c>
      <c r="B41" s="142"/>
      <c r="C41" s="143"/>
      <c r="D41" s="126">
        <v>0</v>
      </c>
      <c r="E41" s="127">
        <v>0</v>
      </c>
      <c r="F41" s="128">
        <v>0</v>
      </c>
      <c r="G41" s="6"/>
      <c r="H41" s="138">
        <v>5180</v>
      </c>
      <c r="I41" s="135"/>
      <c r="J41" s="140">
        <v>0</v>
      </c>
      <c r="K41" s="131">
        <v>0</v>
      </c>
      <c r="L41" s="131">
        <v>0</v>
      </c>
      <c r="M41" s="6"/>
      <c r="N41" s="132"/>
      <c r="O41" s="94"/>
      <c r="P41" s="11"/>
      <c r="Q41" s="115"/>
      <c r="R41" s="62"/>
      <c r="S41" s="84"/>
      <c r="T41" s="88"/>
      <c r="U41" s="133"/>
      <c r="V41" s="6"/>
    </row>
    <row r="42" spans="1:22" ht="24" thickBot="1" x14ac:dyDescent="0.4">
      <c r="A42" s="129">
        <v>2280</v>
      </c>
      <c r="B42" s="6"/>
      <c r="C42" s="6"/>
      <c r="D42" s="126">
        <v>50</v>
      </c>
      <c r="E42" s="127">
        <v>113.94</v>
      </c>
      <c r="F42" s="128">
        <v>5</v>
      </c>
      <c r="G42" s="6"/>
      <c r="H42" s="129" t="s">
        <v>62</v>
      </c>
      <c r="I42" s="144"/>
      <c r="J42" s="136">
        <v>0</v>
      </c>
      <c r="K42" s="137">
        <v>0</v>
      </c>
      <c r="L42" s="137">
        <v>0</v>
      </c>
      <c r="M42" s="6"/>
      <c r="N42" s="132"/>
      <c r="O42" s="94"/>
      <c r="P42" s="11"/>
      <c r="Q42" s="115"/>
      <c r="R42" s="62"/>
      <c r="S42" s="84"/>
      <c r="T42" s="88"/>
      <c r="U42" s="133"/>
      <c r="V42" s="6"/>
    </row>
    <row r="43" spans="1:22" ht="24" thickBot="1" x14ac:dyDescent="0.4">
      <c r="A43" s="129">
        <v>2340</v>
      </c>
      <c r="B43" s="145"/>
      <c r="C43" s="146"/>
      <c r="D43" s="126">
        <v>0</v>
      </c>
      <c r="E43" s="127">
        <v>0</v>
      </c>
      <c r="F43" s="128">
        <v>0</v>
      </c>
      <c r="G43" s="8"/>
      <c r="H43" s="129" t="s">
        <v>63</v>
      </c>
      <c r="I43" s="139"/>
      <c r="J43" s="140">
        <v>0</v>
      </c>
      <c r="K43" s="131">
        <v>0</v>
      </c>
      <c r="L43" s="131">
        <v>0</v>
      </c>
      <c r="M43" s="6"/>
      <c r="N43" s="132"/>
      <c r="O43" s="94"/>
      <c r="P43" s="11"/>
      <c r="Q43" s="115"/>
      <c r="R43" s="62"/>
      <c r="S43" s="84"/>
      <c r="T43" s="88"/>
      <c r="U43" s="133"/>
      <c r="V43" s="6"/>
    </row>
    <row r="44" spans="1:22" ht="24" thickBot="1" x14ac:dyDescent="0.4">
      <c r="A44" s="138">
        <v>2370</v>
      </c>
      <c r="B44" s="145"/>
      <c r="C44" s="146"/>
      <c r="D44" s="126">
        <v>4</v>
      </c>
      <c r="E44" s="127">
        <v>7.74</v>
      </c>
      <c r="F44" s="128">
        <v>0.4</v>
      </c>
      <c r="G44" s="8"/>
      <c r="H44" s="129">
        <v>5200</v>
      </c>
      <c r="I44" s="135"/>
      <c r="J44" s="136">
        <v>309</v>
      </c>
      <c r="K44" s="137">
        <v>756.78</v>
      </c>
      <c r="L44" s="137">
        <v>30.900000000000002</v>
      </c>
      <c r="M44" s="6"/>
      <c r="N44" s="132"/>
      <c r="O44" s="94"/>
      <c r="P44" s="11"/>
      <c r="Q44" s="115"/>
      <c r="R44" s="62"/>
      <c r="S44" s="84"/>
      <c r="T44" s="88"/>
      <c r="U44" s="133"/>
      <c r="V44" s="6"/>
    </row>
    <row r="45" spans="1:22" ht="22.5" customHeight="1" thickBot="1" x14ac:dyDescent="0.4">
      <c r="A45" s="129">
        <v>2260</v>
      </c>
      <c r="B45" s="6"/>
      <c r="C45" s="6"/>
      <c r="D45" s="126">
        <v>0</v>
      </c>
      <c r="E45" s="127">
        <v>0</v>
      </c>
      <c r="F45" s="128">
        <v>0</v>
      </c>
      <c r="G45" s="8"/>
      <c r="H45" s="129">
        <v>5290</v>
      </c>
      <c r="I45" s="135"/>
      <c r="J45" s="140">
        <v>0</v>
      </c>
      <c r="K45" s="131">
        <v>0</v>
      </c>
      <c r="L45" s="131">
        <v>0</v>
      </c>
      <c r="M45" s="8"/>
      <c r="N45" s="132"/>
      <c r="O45" s="94"/>
      <c r="P45" s="147"/>
      <c r="Q45" s="148"/>
      <c r="R45" s="62"/>
      <c r="S45" s="84"/>
      <c r="T45" s="88"/>
      <c r="U45" s="133"/>
      <c r="V45" s="6"/>
    </row>
    <row r="46" spans="1:22" ht="22.5" customHeight="1" thickBot="1" x14ac:dyDescent="0.4">
      <c r="A46" s="129">
        <v>2410</v>
      </c>
      <c r="B46" s="124"/>
      <c r="C46" s="149"/>
      <c r="D46" s="126">
        <v>0</v>
      </c>
      <c r="E46" s="127">
        <v>0</v>
      </c>
      <c r="F46" s="128">
        <v>0</v>
      </c>
      <c r="G46" s="8"/>
      <c r="H46" s="129">
        <v>5450</v>
      </c>
      <c r="I46" s="135"/>
      <c r="J46" s="136">
        <v>0</v>
      </c>
      <c r="K46" s="137">
        <v>0</v>
      </c>
      <c r="L46" s="137">
        <v>0</v>
      </c>
      <c r="M46" s="8"/>
      <c r="N46" s="132"/>
      <c r="O46" s="94"/>
      <c r="P46" s="11"/>
      <c r="Q46" s="148"/>
      <c r="R46" s="62"/>
      <c r="S46" s="150"/>
      <c r="T46" s="88"/>
      <c r="U46" s="133"/>
      <c r="V46" s="6"/>
    </row>
    <row r="47" spans="1:22" ht="22.5" customHeight="1" thickBot="1" x14ac:dyDescent="0.4">
      <c r="A47" s="129">
        <v>2480</v>
      </c>
      <c r="B47" s="124"/>
      <c r="C47" s="149"/>
      <c r="D47" s="126">
        <v>0</v>
      </c>
      <c r="E47" s="127">
        <v>0</v>
      </c>
      <c r="F47" s="128">
        <v>0</v>
      </c>
      <c r="G47" s="8"/>
      <c r="H47" s="138">
        <v>5510</v>
      </c>
      <c r="I47" s="139"/>
      <c r="J47" s="140">
        <v>0</v>
      </c>
      <c r="K47" s="131">
        <v>0</v>
      </c>
      <c r="L47" s="131">
        <v>0</v>
      </c>
      <c r="M47" s="8"/>
      <c r="N47" s="132"/>
      <c r="O47" s="94"/>
      <c r="P47" s="11"/>
      <c r="Q47" s="148"/>
      <c r="R47" s="62"/>
      <c r="S47" s="150"/>
      <c r="T47" s="88"/>
      <c r="U47" s="133"/>
      <c r="V47" s="6"/>
    </row>
    <row r="48" spans="1:22" ht="22.5" customHeight="1" thickBot="1" x14ac:dyDescent="0.4">
      <c r="A48" s="134" t="s">
        <v>64</v>
      </c>
      <c r="B48" s="124"/>
      <c r="C48" s="149"/>
      <c r="D48" s="126">
        <v>5</v>
      </c>
      <c r="E48" s="127">
        <v>11.18</v>
      </c>
      <c r="F48" s="128">
        <v>0.5</v>
      </c>
      <c r="G48" s="8"/>
      <c r="H48" s="129">
        <v>5600</v>
      </c>
      <c r="I48" s="139"/>
      <c r="J48" s="136">
        <v>109</v>
      </c>
      <c r="K48" s="137">
        <v>343.70000000000005</v>
      </c>
      <c r="L48" s="137">
        <v>10.8</v>
      </c>
      <c r="M48" s="8"/>
      <c r="N48" s="132"/>
      <c r="O48" s="94"/>
      <c r="P48" s="11"/>
      <c r="Q48" s="148"/>
      <c r="R48" s="62"/>
      <c r="S48" s="150"/>
      <c r="T48" s="88"/>
      <c r="U48" s="133"/>
      <c r="V48" s="6"/>
    </row>
    <row r="49" spans="1:22" ht="22.5" customHeight="1" thickBot="1" x14ac:dyDescent="0.4">
      <c r="A49" s="151" t="s">
        <v>65</v>
      </c>
      <c r="B49" s="6"/>
      <c r="C49" s="6"/>
      <c r="D49" s="126">
        <v>1</v>
      </c>
      <c r="E49" s="127">
        <v>2.0699999999999998</v>
      </c>
      <c r="F49" s="128">
        <v>0.1</v>
      </c>
      <c r="G49" s="8"/>
      <c r="H49" s="138">
        <v>5650</v>
      </c>
      <c r="I49" s="144"/>
      <c r="J49" s="140">
        <v>34</v>
      </c>
      <c r="K49" s="131">
        <v>70.97</v>
      </c>
      <c r="L49" s="131">
        <v>3.4000000000000004</v>
      </c>
      <c r="M49" s="8"/>
      <c r="N49" s="132"/>
      <c r="O49" s="94"/>
      <c r="P49" s="11"/>
      <c r="Q49" s="148"/>
      <c r="R49" s="62"/>
      <c r="S49" s="150"/>
      <c r="T49" s="88"/>
      <c r="U49" s="133"/>
      <c r="V49" s="6"/>
    </row>
    <row r="50" spans="1:22" ht="22.5" customHeight="1" thickBot="1" x14ac:dyDescent="0.4">
      <c r="A50" s="129" t="s">
        <v>66</v>
      </c>
      <c r="B50" s="124"/>
      <c r="C50" s="149"/>
      <c r="D50" s="126">
        <v>0</v>
      </c>
      <c r="E50" s="127">
        <v>0</v>
      </c>
      <c r="F50" s="128">
        <v>0</v>
      </c>
      <c r="G50" s="8"/>
      <c r="H50" s="129">
        <v>5630</v>
      </c>
      <c r="I50" s="139"/>
      <c r="J50" s="136">
        <v>0</v>
      </c>
      <c r="K50" s="137">
        <v>0</v>
      </c>
      <c r="L50" s="137">
        <v>0</v>
      </c>
      <c r="M50" s="8"/>
      <c r="N50" s="132"/>
      <c r="O50" s="94"/>
      <c r="P50" s="11"/>
      <c r="Q50" s="148"/>
      <c r="R50" s="62"/>
      <c r="S50" s="150"/>
      <c r="T50" s="88"/>
      <c r="U50" s="133"/>
      <c r="V50" s="6"/>
    </row>
    <row r="51" spans="1:22" ht="22.5" customHeight="1" thickBot="1" x14ac:dyDescent="0.55000000000000004">
      <c r="A51" s="129" t="s">
        <v>67</v>
      </c>
      <c r="B51" s="124"/>
      <c r="C51" s="149"/>
      <c r="D51" s="126">
        <v>0</v>
      </c>
      <c r="E51" s="127">
        <v>0</v>
      </c>
      <c r="F51" s="128">
        <v>0</v>
      </c>
      <c r="G51" s="8"/>
      <c r="H51" s="129">
        <v>5700</v>
      </c>
      <c r="I51" s="152"/>
      <c r="J51" s="140">
        <v>0</v>
      </c>
      <c r="K51" s="131">
        <v>0</v>
      </c>
      <c r="L51" s="131">
        <v>0</v>
      </c>
      <c r="M51" s="8"/>
      <c r="N51" s="132"/>
      <c r="O51" s="8"/>
      <c r="P51" s="6"/>
      <c r="Q51" s="153"/>
      <c r="R51" s="6"/>
      <c r="S51" s="7"/>
      <c r="T51" s="89"/>
      <c r="U51" s="154"/>
      <c r="V51" s="6"/>
    </row>
    <row r="52" spans="1:22" ht="22.5" customHeight="1" thickBot="1" x14ac:dyDescent="0.45">
      <c r="A52" s="129" t="s">
        <v>68</v>
      </c>
      <c r="B52" s="6"/>
      <c r="C52" s="152"/>
      <c r="D52" s="126">
        <v>0</v>
      </c>
      <c r="E52" s="127">
        <v>0</v>
      </c>
      <c r="F52" s="128">
        <v>0</v>
      </c>
      <c r="G52" s="8"/>
      <c r="H52" s="129">
        <v>6140</v>
      </c>
      <c r="I52" s="155"/>
      <c r="J52" s="136">
        <v>0</v>
      </c>
      <c r="K52" s="137">
        <v>0</v>
      </c>
      <c r="L52" s="137">
        <v>0</v>
      </c>
      <c r="M52" s="8"/>
      <c r="N52" s="132"/>
      <c r="O52" s="6"/>
      <c r="P52" s="6"/>
      <c r="Q52" s="156"/>
      <c r="R52" s="6"/>
      <c r="S52" s="157"/>
      <c r="T52" s="158"/>
      <c r="U52" s="159"/>
    </row>
    <row r="53" spans="1:22" ht="22.5" customHeight="1" thickBot="1" x14ac:dyDescent="0.4">
      <c r="A53" s="129">
        <v>2500</v>
      </c>
      <c r="B53" s="124"/>
      <c r="C53" s="149"/>
      <c r="D53" s="126">
        <v>0</v>
      </c>
      <c r="E53" s="127">
        <v>0</v>
      </c>
      <c r="F53" s="128">
        <v>0</v>
      </c>
      <c r="G53" s="8"/>
      <c r="H53" s="138">
        <v>6190</v>
      </c>
      <c r="I53" s="160"/>
      <c r="J53" s="140">
        <v>0</v>
      </c>
      <c r="K53" s="131">
        <v>0</v>
      </c>
      <c r="L53" s="131">
        <v>0</v>
      </c>
      <c r="M53" s="8"/>
      <c r="N53" s="132"/>
      <c r="O53" s="6"/>
      <c r="P53" s="6"/>
      <c r="Q53" s="161"/>
      <c r="R53" s="6"/>
      <c r="S53" s="6"/>
      <c r="T53" s="89"/>
      <c r="U53" s="162"/>
      <c r="V53" s="6"/>
    </row>
    <row r="54" spans="1:22" ht="22.5" customHeight="1" thickBot="1" x14ac:dyDescent="0.4">
      <c r="A54" s="129">
        <v>2540</v>
      </c>
      <c r="B54" s="124"/>
      <c r="C54" s="149"/>
      <c r="D54" s="126">
        <v>0</v>
      </c>
      <c r="E54" s="127">
        <v>0</v>
      </c>
      <c r="F54" s="128">
        <v>0</v>
      </c>
      <c r="G54" s="8"/>
      <c r="H54" s="129">
        <v>6350</v>
      </c>
      <c r="I54" s="163"/>
      <c r="J54" s="136">
        <v>0</v>
      </c>
      <c r="K54" s="137">
        <v>0</v>
      </c>
      <c r="L54" s="137">
        <v>0</v>
      </c>
      <c r="M54" s="8"/>
      <c r="N54" s="132"/>
      <c r="O54" s="6"/>
      <c r="P54" s="6"/>
      <c r="Q54" s="161"/>
      <c r="R54" s="6"/>
      <c r="S54" s="6"/>
      <c r="T54" s="89"/>
      <c r="U54" s="162"/>
      <c r="V54" s="6"/>
    </row>
    <row r="55" spans="1:22" ht="22.5" customHeight="1" thickBot="1" x14ac:dyDescent="0.4">
      <c r="A55" s="123">
        <v>2560</v>
      </c>
      <c r="B55" s="124"/>
      <c r="C55" s="149"/>
      <c r="D55" s="126">
        <v>0</v>
      </c>
      <c r="E55" s="127">
        <v>0</v>
      </c>
      <c r="F55" s="128">
        <v>0</v>
      </c>
      <c r="G55" s="8"/>
      <c r="H55" s="129">
        <v>6370</v>
      </c>
      <c r="I55" s="163"/>
      <c r="J55" s="140">
        <v>0</v>
      </c>
      <c r="K55" s="131">
        <v>0</v>
      </c>
      <c r="L55" s="131">
        <v>0</v>
      </c>
      <c r="M55" s="8"/>
      <c r="N55" s="132"/>
      <c r="O55" s="6"/>
      <c r="P55" s="6"/>
      <c r="Q55" s="161"/>
      <c r="R55" s="6"/>
      <c r="S55" s="6"/>
      <c r="T55" s="89"/>
      <c r="U55" s="162"/>
      <c r="V55" s="6"/>
    </row>
    <row r="56" spans="1:22" ht="22.5" customHeight="1" thickBot="1" x14ac:dyDescent="0.4">
      <c r="A56" s="164">
        <v>2580</v>
      </c>
      <c r="B56" s="124"/>
      <c r="C56" s="149"/>
      <c r="D56" s="126">
        <v>0</v>
      </c>
      <c r="E56" s="127">
        <v>0</v>
      </c>
      <c r="F56" s="128">
        <v>0</v>
      </c>
      <c r="G56" s="8"/>
      <c r="H56" s="129">
        <v>6530</v>
      </c>
      <c r="I56" s="163"/>
      <c r="J56" s="136">
        <v>0</v>
      </c>
      <c r="K56" s="137">
        <v>0</v>
      </c>
      <c r="L56" s="137">
        <v>0</v>
      </c>
      <c r="M56" s="8"/>
      <c r="N56" s="132"/>
      <c r="O56" s="6"/>
      <c r="P56" s="6"/>
      <c r="Q56" s="161"/>
      <c r="R56" s="6"/>
      <c r="S56" s="6"/>
      <c r="T56" s="89"/>
      <c r="U56" s="162"/>
      <c r="V56" s="6"/>
    </row>
    <row r="57" spans="1:22" ht="22.5" customHeight="1" thickTop="1" thickBot="1" x14ac:dyDescent="0.4">
      <c r="A57" s="138">
        <v>2660</v>
      </c>
      <c r="B57" s="6"/>
      <c r="C57" s="152"/>
      <c r="D57" s="126">
        <v>0</v>
      </c>
      <c r="E57" s="127">
        <v>0</v>
      </c>
      <c r="F57" s="128">
        <v>0</v>
      </c>
      <c r="G57" s="8"/>
      <c r="H57" s="129">
        <v>6570</v>
      </c>
      <c r="I57" s="163"/>
      <c r="J57" s="140">
        <v>0</v>
      </c>
      <c r="K57" s="131">
        <v>0</v>
      </c>
      <c r="L57" s="131">
        <v>0</v>
      </c>
      <c r="M57" s="8"/>
      <c r="N57" s="132"/>
      <c r="O57" s="6"/>
      <c r="P57" s="6"/>
      <c r="Q57" s="161"/>
      <c r="R57" s="6"/>
      <c r="S57" s="6"/>
      <c r="T57" s="89"/>
      <c r="U57" s="162"/>
      <c r="V57" s="6"/>
    </row>
    <row r="58" spans="1:22" ht="22.5" customHeight="1" thickBot="1" x14ac:dyDescent="0.4">
      <c r="A58" s="129">
        <v>2670</v>
      </c>
      <c r="B58" s="124"/>
      <c r="C58" s="149"/>
      <c r="D58" s="126">
        <v>0</v>
      </c>
      <c r="E58" s="127">
        <v>0</v>
      </c>
      <c r="F58" s="128">
        <v>0</v>
      </c>
      <c r="G58" s="8"/>
      <c r="H58" s="129">
        <v>6780</v>
      </c>
      <c r="I58" s="165"/>
      <c r="J58" s="136">
        <v>0</v>
      </c>
      <c r="K58" s="137">
        <v>0</v>
      </c>
      <c r="L58" s="137">
        <v>0</v>
      </c>
      <c r="M58" s="8"/>
      <c r="N58" s="162"/>
      <c r="O58" s="6"/>
      <c r="P58" s="6"/>
      <c r="Q58" s="161"/>
      <c r="R58" s="6"/>
      <c r="S58" s="6"/>
      <c r="T58" s="6"/>
      <c r="U58" s="162"/>
      <c r="V58" s="6"/>
    </row>
    <row r="59" spans="1:22" ht="22.5" customHeight="1" thickBot="1" x14ac:dyDescent="0.4">
      <c r="A59" s="129">
        <v>2720</v>
      </c>
      <c r="B59" s="124"/>
      <c r="C59" s="149"/>
      <c r="D59" s="126">
        <v>0</v>
      </c>
      <c r="E59" s="127">
        <v>0</v>
      </c>
      <c r="F59" s="128">
        <v>0</v>
      </c>
      <c r="G59" s="8"/>
      <c r="H59" s="129">
        <v>6850</v>
      </c>
      <c r="I59" s="165"/>
      <c r="J59" s="140">
        <v>0</v>
      </c>
      <c r="K59" s="131">
        <v>0</v>
      </c>
      <c r="L59" s="131">
        <v>0</v>
      </c>
      <c r="M59" s="8"/>
      <c r="N59" s="166"/>
      <c r="O59" s="6"/>
      <c r="P59" s="6"/>
      <c r="Q59" s="161"/>
      <c r="R59" s="6"/>
      <c r="S59" s="6"/>
      <c r="T59" s="167"/>
      <c r="U59" s="162"/>
      <c r="V59" s="6"/>
    </row>
    <row r="60" spans="1:22" ht="22.5" customHeight="1" thickBot="1" x14ac:dyDescent="0.4">
      <c r="A60" s="138">
        <v>2750</v>
      </c>
      <c r="B60" s="6"/>
      <c r="C60" s="152"/>
      <c r="D60" s="126">
        <v>0</v>
      </c>
      <c r="E60" s="127">
        <v>0</v>
      </c>
      <c r="F60" s="128">
        <v>0</v>
      </c>
      <c r="G60" s="20"/>
      <c r="H60" s="129">
        <v>7010</v>
      </c>
      <c r="I60" s="163"/>
      <c r="J60" s="136">
        <v>0</v>
      </c>
      <c r="K60" s="137">
        <v>0</v>
      </c>
      <c r="L60" s="137">
        <v>0</v>
      </c>
      <c r="M60" s="8"/>
      <c r="N60" s="166"/>
      <c r="O60" s="6"/>
      <c r="P60" s="6"/>
      <c r="Q60" s="161"/>
      <c r="R60" s="6"/>
      <c r="S60" s="6"/>
      <c r="T60" s="167"/>
      <c r="U60" s="162"/>
      <c r="V60" s="6"/>
    </row>
    <row r="61" spans="1:22" ht="22.5" customHeight="1" thickBot="1" x14ac:dyDescent="0.4">
      <c r="A61" s="129">
        <v>2760</v>
      </c>
      <c r="B61" s="124"/>
      <c r="C61" s="149"/>
      <c r="D61" s="126">
        <v>0</v>
      </c>
      <c r="E61" s="127">
        <v>0</v>
      </c>
      <c r="F61" s="128">
        <v>0</v>
      </c>
      <c r="G61" s="8"/>
      <c r="H61" s="138">
        <v>7030</v>
      </c>
      <c r="I61" s="165"/>
      <c r="J61" s="140">
        <v>0</v>
      </c>
      <c r="K61" s="131">
        <v>0</v>
      </c>
      <c r="L61" s="131">
        <v>0</v>
      </c>
      <c r="M61" s="8"/>
      <c r="N61" s="162"/>
      <c r="O61" s="6"/>
      <c r="P61" s="6"/>
      <c r="Q61" s="161"/>
      <c r="R61" s="6"/>
      <c r="S61" s="168"/>
      <c r="T61" s="168"/>
      <c r="U61" s="162"/>
      <c r="V61" s="6"/>
    </row>
    <row r="62" spans="1:22" ht="22.5" customHeight="1" thickBot="1" x14ac:dyDescent="0.4">
      <c r="A62" s="138">
        <v>2770</v>
      </c>
      <c r="B62" s="142"/>
      <c r="C62" s="143"/>
      <c r="D62" s="126">
        <v>0</v>
      </c>
      <c r="E62" s="127">
        <v>0</v>
      </c>
      <c r="F62" s="128">
        <v>0</v>
      </c>
      <c r="G62" s="8"/>
      <c r="H62" s="129">
        <v>7050</v>
      </c>
      <c r="I62" s="165"/>
      <c r="J62" s="136">
        <v>0</v>
      </c>
      <c r="K62" s="137">
        <v>0</v>
      </c>
      <c r="L62" s="137">
        <v>0</v>
      </c>
      <c r="M62" s="8"/>
      <c r="N62" s="162"/>
      <c r="O62" s="6"/>
      <c r="P62" s="6"/>
      <c r="Q62" s="161"/>
      <c r="R62" s="6"/>
      <c r="S62" s="168"/>
      <c r="T62" s="168"/>
      <c r="U62" s="162"/>
      <c r="V62" s="6"/>
    </row>
    <row r="63" spans="1:22" ht="22.5" customHeight="1" thickBot="1" x14ac:dyDescent="0.4">
      <c r="A63" s="129" t="s">
        <v>69</v>
      </c>
      <c r="B63" s="6"/>
      <c r="C63" s="152"/>
      <c r="D63" s="126">
        <v>2159</v>
      </c>
      <c r="E63" s="127">
        <v>6246.06</v>
      </c>
      <c r="F63" s="128">
        <v>215.9</v>
      </c>
      <c r="G63" s="8"/>
      <c r="H63" s="138">
        <v>8000</v>
      </c>
      <c r="I63" s="163"/>
      <c r="J63" s="169">
        <v>0</v>
      </c>
      <c r="K63" s="170">
        <v>0</v>
      </c>
      <c r="L63" s="131">
        <v>0</v>
      </c>
      <c r="M63" s="8"/>
      <c r="N63" s="162"/>
      <c r="O63" s="6"/>
      <c r="P63" s="6"/>
      <c r="Q63" s="161"/>
      <c r="R63" s="6"/>
      <c r="S63" s="6"/>
      <c r="T63" s="6"/>
      <c r="U63" s="162"/>
      <c r="V63" s="6"/>
    </row>
    <row r="64" spans="1:22" ht="22.5" customHeight="1" thickBot="1" x14ac:dyDescent="0.4">
      <c r="A64" s="134" t="s">
        <v>70</v>
      </c>
      <c r="B64" s="124"/>
      <c r="C64" s="149"/>
      <c r="D64" s="126">
        <v>65</v>
      </c>
      <c r="E64" s="127">
        <v>140.49</v>
      </c>
      <c r="F64" s="128">
        <v>6.5</v>
      </c>
      <c r="G64" s="8"/>
      <c r="H64" s="129">
        <v>8020</v>
      </c>
      <c r="I64" s="165"/>
      <c r="J64" s="136">
        <v>0</v>
      </c>
      <c r="K64" s="137">
        <v>0</v>
      </c>
      <c r="L64" s="137">
        <v>0</v>
      </c>
      <c r="M64" s="8"/>
      <c r="N64" s="162"/>
      <c r="O64" s="6"/>
      <c r="P64" s="6"/>
      <c r="Q64" s="161"/>
      <c r="R64" s="6"/>
      <c r="S64" s="6"/>
      <c r="T64" s="6"/>
      <c r="U64" s="162"/>
      <c r="V64" s="6"/>
    </row>
    <row r="65" spans="1:216" ht="22.5" customHeight="1" thickBot="1" x14ac:dyDescent="0.4">
      <c r="A65" s="138">
        <v>2830</v>
      </c>
      <c r="B65" s="6"/>
      <c r="C65" s="152"/>
      <c r="D65" s="126">
        <v>0</v>
      </c>
      <c r="E65" s="127">
        <v>0</v>
      </c>
      <c r="F65" s="128">
        <v>0</v>
      </c>
      <c r="G65" s="8"/>
      <c r="H65" s="129">
        <v>8050</v>
      </c>
      <c r="I65" s="165"/>
      <c r="J65" s="136">
        <v>0</v>
      </c>
      <c r="K65" s="137">
        <v>0</v>
      </c>
      <c r="L65" s="131">
        <v>0</v>
      </c>
      <c r="M65" s="8"/>
      <c r="N65" s="162"/>
      <c r="O65" s="6"/>
      <c r="P65" s="6"/>
      <c r="Q65" s="161"/>
      <c r="R65" s="6"/>
      <c r="S65" s="6"/>
      <c r="T65" s="6"/>
      <c r="U65" s="162"/>
      <c r="V65" s="6"/>
    </row>
    <row r="66" spans="1:216" ht="24" thickBot="1" x14ac:dyDescent="0.4">
      <c r="A66" s="129">
        <v>2840</v>
      </c>
      <c r="B66" s="124"/>
      <c r="C66" s="171"/>
      <c r="D66" s="126">
        <v>0</v>
      </c>
      <c r="E66" s="127">
        <v>0</v>
      </c>
      <c r="F66" s="128">
        <v>0</v>
      </c>
      <c r="G66" s="8"/>
      <c r="H66" s="138">
        <v>8060</v>
      </c>
      <c r="I66" s="165"/>
      <c r="J66" s="136">
        <v>0</v>
      </c>
      <c r="K66" s="137">
        <v>0</v>
      </c>
      <c r="L66" s="137">
        <v>0</v>
      </c>
      <c r="M66" s="8"/>
      <c r="N66" s="162"/>
      <c r="O66" s="6"/>
      <c r="P66" s="6"/>
      <c r="Q66" s="161"/>
      <c r="R66" s="6"/>
      <c r="S66" s="6"/>
      <c r="T66" s="6"/>
      <c r="U66" s="162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</row>
    <row r="67" spans="1:216" ht="24" thickBot="1" x14ac:dyDescent="0.4">
      <c r="A67" s="172">
        <v>2850</v>
      </c>
      <c r="B67" s="173"/>
      <c r="C67" s="173"/>
      <c r="D67" s="126">
        <v>0</v>
      </c>
      <c r="E67" s="127">
        <v>0</v>
      </c>
      <c r="F67" s="128">
        <v>0</v>
      </c>
      <c r="G67" s="8"/>
      <c r="H67" s="129">
        <v>8100</v>
      </c>
      <c r="I67" s="165"/>
      <c r="J67" s="136">
        <v>0</v>
      </c>
      <c r="K67" s="137">
        <v>0</v>
      </c>
      <c r="L67" s="131">
        <v>0</v>
      </c>
      <c r="M67" s="8"/>
      <c r="N67" s="162"/>
      <c r="O67" s="6"/>
      <c r="P67" s="6"/>
      <c r="Q67" s="161"/>
      <c r="R67" s="6"/>
      <c r="S67" s="6"/>
      <c r="T67" s="6"/>
      <c r="U67" s="162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</row>
    <row r="68" spans="1:216" ht="24" thickBot="1" x14ac:dyDescent="0.4">
      <c r="A68" s="138">
        <v>2920</v>
      </c>
      <c r="B68" s="6"/>
      <c r="C68" s="174"/>
      <c r="D68" s="126">
        <v>2</v>
      </c>
      <c r="E68" s="127">
        <v>6.4399999999999995</v>
      </c>
      <c r="F68" s="128">
        <v>0.2</v>
      </c>
      <c r="G68" s="8"/>
      <c r="H68" s="129">
        <v>8110</v>
      </c>
      <c r="I68" s="160"/>
      <c r="J68" s="136">
        <v>0</v>
      </c>
      <c r="K68" s="137">
        <v>0</v>
      </c>
      <c r="L68" s="137">
        <v>0</v>
      </c>
      <c r="M68" s="8"/>
      <c r="N68" s="175"/>
      <c r="O68" s="20"/>
      <c r="P68" s="110"/>
      <c r="Q68" s="176"/>
      <c r="R68" s="109"/>
      <c r="S68" s="6"/>
      <c r="T68" s="6"/>
      <c r="U68" s="162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</row>
    <row r="69" spans="1:216" ht="24" thickBot="1" x14ac:dyDescent="0.4">
      <c r="A69" s="129">
        <v>2930</v>
      </c>
      <c r="B69" s="124"/>
      <c r="C69" s="171"/>
      <c r="D69" s="126">
        <v>0</v>
      </c>
      <c r="E69" s="127">
        <v>0</v>
      </c>
      <c r="F69" s="128">
        <v>0</v>
      </c>
      <c r="G69" s="8"/>
      <c r="H69" s="138">
        <v>8130</v>
      </c>
      <c r="I69" s="163"/>
      <c r="J69" s="136">
        <v>3</v>
      </c>
      <c r="K69" s="137">
        <v>6.21</v>
      </c>
      <c r="L69" s="131">
        <v>0.30000000000000004</v>
      </c>
      <c r="M69" s="8"/>
      <c r="N69" s="175"/>
      <c r="O69" s="20"/>
      <c r="P69" s="20"/>
      <c r="Q69" s="177"/>
      <c r="R69" s="6"/>
      <c r="S69" s="6"/>
      <c r="T69" s="6"/>
      <c r="U69" s="162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</row>
    <row r="70" spans="1:216" ht="24" thickBot="1" x14ac:dyDescent="0.4">
      <c r="A70" s="138">
        <v>2960</v>
      </c>
      <c r="B70" s="6"/>
      <c r="C70" s="174"/>
      <c r="D70" s="126">
        <v>12</v>
      </c>
      <c r="E70" s="127">
        <v>23.76</v>
      </c>
      <c r="F70" s="128">
        <v>1.2000000000000002</v>
      </c>
      <c r="G70" s="8"/>
      <c r="H70" s="129" t="s">
        <v>71</v>
      </c>
      <c r="I70" s="160"/>
      <c r="J70" s="136">
        <v>0</v>
      </c>
      <c r="K70" s="137">
        <v>0</v>
      </c>
      <c r="L70" s="137">
        <v>0</v>
      </c>
      <c r="M70" s="8"/>
      <c r="N70" s="162"/>
      <c r="O70" s="6"/>
      <c r="P70" s="6"/>
      <c r="Q70" s="161"/>
      <c r="R70" s="6"/>
      <c r="S70" s="6"/>
      <c r="T70" s="6"/>
      <c r="U70" s="162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</row>
    <row r="71" spans="1:216" ht="24" thickBot="1" x14ac:dyDescent="0.4">
      <c r="A71" s="129">
        <v>4000</v>
      </c>
      <c r="B71" s="124"/>
      <c r="C71" s="171"/>
      <c r="D71" s="126">
        <v>0</v>
      </c>
      <c r="E71" s="127">
        <v>0</v>
      </c>
      <c r="F71" s="128">
        <v>0</v>
      </c>
      <c r="G71" s="8"/>
      <c r="H71" s="129" t="s">
        <v>72</v>
      </c>
      <c r="I71" s="163"/>
      <c r="J71" s="136">
        <v>24</v>
      </c>
      <c r="K71" s="137">
        <v>48.92</v>
      </c>
      <c r="L71" s="131">
        <v>2.4000000000000004</v>
      </c>
      <c r="M71" s="8"/>
      <c r="N71" s="162"/>
      <c r="O71" s="6"/>
      <c r="P71" s="6"/>
      <c r="Q71" s="161"/>
      <c r="R71" s="6"/>
      <c r="S71" s="6"/>
      <c r="T71" s="6"/>
      <c r="U71" s="162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</row>
    <row r="72" spans="1:216" ht="21.75" customHeight="1" thickBot="1" x14ac:dyDescent="0.4">
      <c r="A72" s="129">
        <v>4100</v>
      </c>
      <c r="B72" s="6"/>
      <c r="C72" s="174"/>
      <c r="D72" s="126">
        <v>0</v>
      </c>
      <c r="E72" s="127">
        <v>0</v>
      </c>
      <c r="F72" s="128">
        <v>0</v>
      </c>
      <c r="G72" s="6"/>
      <c r="H72" s="129">
        <v>8330</v>
      </c>
      <c r="I72" s="160"/>
      <c r="J72" s="136">
        <v>0</v>
      </c>
      <c r="K72" s="137">
        <v>0</v>
      </c>
      <c r="L72" s="137">
        <v>0</v>
      </c>
      <c r="M72" s="8"/>
      <c r="N72" s="162"/>
      <c r="O72" s="6"/>
      <c r="P72" s="6"/>
      <c r="Q72" s="161"/>
      <c r="R72" s="6"/>
      <c r="S72" s="6"/>
      <c r="T72" s="6"/>
      <c r="U72" s="162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</row>
    <row r="73" spans="1:216" ht="22.5" customHeight="1" thickBot="1" x14ac:dyDescent="0.4">
      <c r="A73" s="129">
        <v>4070</v>
      </c>
      <c r="B73" s="178"/>
      <c r="C73" s="179"/>
      <c r="D73" s="126">
        <v>0</v>
      </c>
      <c r="E73" s="127">
        <v>0</v>
      </c>
      <c r="F73" s="128">
        <v>0</v>
      </c>
      <c r="G73" s="180"/>
      <c r="H73" s="129">
        <v>8480</v>
      </c>
      <c r="I73" s="163"/>
      <c r="J73" s="136">
        <v>0</v>
      </c>
      <c r="K73" s="137">
        <v>0</v>
      </c>
      <c r="L73" s="131">
        <v>0</v>
      </c>
      <c r="M73" s="6"/>
      <c r="N73" s="162"/>
      <c r="O73" s="6"/>
      <c r="P73" s="6"/>
      <c r="Q73" s="161"/>
      <c r="R73" s="6"/>
      <c r="S73" s="6"/>
      <c r="T73" s="6"/>
      <c r="U73" s="162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</row>
    <row r="74" spans="1:216" ht="22.5" customHeight="1" thickBot="1" x14ac:dyDescent="0.4">
      <c r="A74" s="129">
        <v>4160</v>
      </c>
      <c r="B74" s="178"/>
      <c r="C74" s="179"/>
      <c r="D74" s="126">
        <v>0</v>
      </c>
      <c r="E74" s="127">
        <v>0</v>
      </c>
      <c r="F74" s="128">
        <v>0</v>
      </c>
      <c r="G74" s="180"/>
      <c r="H74" s="181">
        <v>8510</v>
      </c>
      <c r="I74" s="163"/>
      <c r="J74" s="182">
        <v>1</v>
      </c>
      <c r="K74" s="137">
        <v>1.7999999999999998</v>
      </c>
      <c r="L74" s="137">
        <v>0.1</v>
      </c>
      <c r="M74" s="6"/>
      <c r="N74" s="162"/>
      <c r="O74" s="6"/>
      <c r="P74" s="6"/>
      <c r="Q74" s="161"/>
      <c r="R74" s="6"/>
      <c r="S74" s="6"/>
      <c r="T74" s="6"/>
      <c r="U74" s="162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</row>
    <row r="75" spans="1:216" ht="22.5" customHeight="1" thickBot="1" x14ac:dyDescent="0.4">
      <c r="A75" s="138">
        <v>4230</v>
      </c>
      <c r="B75" s="183"/>
      <c r="C75" s="184"/>
      <c r="D75" s="126">
        <v>3</v>
      </c>
      <c r="E75" s="127">
        <v>11.219999999999999</v>
      </c>
      <c r="F75" s="128">
        <v>0.30000000000000004</v>
      </c>
      <c r="G75" s="180"/>
      <c r="H75" s="181">
        <v>8530</v>
      </c>
      <c r="I75" s="163"/>
      <c r="J75" s="136">
        <v>0</v>
      </c>
      <c r="K75" s="137">
        <v>0</v>
      </c>
      <c r="L75" s="131">
        <v>0</v>
      </c>
      <c r="M75" s="6"/>
      <c r="N75" s="162"/>
      <c r="O75" s="6"/>
      <c r="P75" s="6"/>
      <c r="Q75" s="161"/>
      <c r="R75" s="6"/>
      <c r="S75" s="6"/>
      <c r="T75" s="6"/>
      <c r="U75" s="162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</row>
    <row r="76" spans="1:216" ht="22.5" customHeight="1" thickBot="1" x14ac:dyDescent="0.4">
      <c r="A76" s="129">
        <v>4250</v>
      </c>
      <c r="B76" s="178"/>
      <c r="C76" s="179"/>
      <c r="D76" s="126">
        <v>0</v>
      </c>
      <c r="E76" s="127">
        <v>0</v>
      </c>
      <c r="F76" s="128">
        <v>0</v>
      </c>
      <c r="G76" s="6"/>
      <c r="H76" s="185">
        <v>8550</v>
      </c>
      <c r="I76" s="163"/>
      <c r="J76" s="136">
        <v>0</v>
      </c>
      <c r="K76" s="137">
        <v>0</v>
      </c>
      <c r="L76" s="137">
        <v>0</v>
      </c>
      <c r="M76" s="6"/>
      <c r="N76" s="162"/>
      <c r="O76" s="6"/>
      <c r="P76" s="6"/>
      <c r="Q76" s="161"/>
      <c r="R76" s="6"/>
      <c r="S76" s="6"/>
      <c r="T76" s="6"/>
      <c r="U76" s="162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</row>
    <row r="77" spans="1:216" ht="22.5" customHeight="1" thickBot="1" x14ac:dyDescent="0.4">
      <c r="A77" s="134">
        <v>4300</v>
      </c>
      <c r="B77" s="186"/>
      <c r="C77" s="187"/>
      <c r="D77" s="126">
        <v>0</v>
      </c>
      <c r="E77" s="127">
        <v>0</v>
      </c>
      <c r="F77" s="128">
        <v>0</v>
      </c>
      <c r="G77" s="6"/>
      <c r="H77" s="188">
        <v>8570</v>
      </c>
      <c r="I77" s="160"/>
      <c r="J77" s="136">
        <v>1</v>
      </c>
      <c r="K77" s="137">
        <v>2.0699999999999998</v>
      </c>
      <c r="L77" s="131">
        <v>0.1</v>
      </c>
      <c r="M77" s="6"/>
      <c r="N77" s="162"/>
      <c r="O77" s="6"/>
      <c r="P77" s="6"/>
      <c r="Q77" s="161"/>
      <c r="R77" s="6"/>
      <c r="S77" s="6"/>
      <c r="T77" s="6"/>
      <c r="U77" s="162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</row>
    <row r="78" spans="1:216" ht="22.5" customHeight="1" thickBot="1" x14ac:dyDescent="0.55000000000000004">
      <c r="A78" s="134">
        <v>4370</v>
      </c>
      <c r="B78" s="178"/>
      <c r="C78" s="179"/>
      <c r="D78" s="126">
        <v>0</v>
      </c>
      <c r="E78" s="127">
        <v>0</v>
      </c>
      <c r="F78" s="128">
        <v>0</v>
      </c>
      <c r="G78" s="189"/>
      <c r="H78" s="190" t="s">
        <v>73</v>
      </c>
      <c r="I78" s="179"/>
      <c r="J78" s="136">
        <v>0</v>
      </c>
      <c r="K78" s="137">
        <v>0</v>
      </c>
      <c r="L78" s="137">
        <v>0</v>
      </c>
      <c r="M78" s="6"/>
      <c r="N78" s="162"/>
      <c r="O78" s="6"/>
      <c r="P78" s="6"/>
      <c r="Q78" s="161"/>
      <c r="R78" s="6"/>
      <c r="S78" s="6"/>
      <c r="T78" s="6"/>
      <c r="U78" s="162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</row>
    <row r="79" spans="1:216" ht="22.5" customHeight="1" thickBot="1" x14ac:dyDescent="0.55000000000000004">
      <c r="A79" s="181">
        <v>4380</v>
      </c>
      <c r="B79" s="178"/>
      <c r="C79" s="179"/>
      <c r="D79" s="126">
        <v>0</v>
      </c>
      <c r="E79" s="127">
        <v>0</v>
      </c>
      <c r="F79" s="128">
        <v>0</v>
      </c>
      <c r="G79" s="189"/>
      <c r="H79" s="190">
        <v>8610</v>
      </c>
      <c r="I79" s="187"/>
      <c r="J79" s="136">
        <v>0</v>
      </c>
      <c r="K79" s="137">
        <v>0</v>
      </c>
      <c r="L79" s="137">
        <v>0</v>
      </c>
      <c r="M79" s="6"/>
      <c r="N79" s="162"/>
      <c r="O79" s="6"/>
      <c r="P79" s="6"/>
      <c r="Q79" s="161"/>
      <c r="R79" s="6"/>
      <c r="S79" s="6"/>
      <c r="T79" s="6"/>
      <c r="U79" s="162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</row>
    <row r="80" spans="1:216" ht="22.5" customHeight="1" thickBot="1" x14ac:dyDescent="0.55000000000000004">
      <c r="A80" s="185">
        <v>4430</v>
      </c>
      <c r="B80" s="183"/>
      <c r="C80" s="184"/>
      <c r="D80" s="126">
        <v>0</v>
      </c>
      <c r="E80" s="127">
        <v>0</v>
      </c>
      <c r="F80" s="128">
        <v>0</v>
      </c>
      <c r="G80" s="189"/>
      <c r="H80" s="185">
        <v>8660</v>
      </c>
      <c r="I80" s="191"/>
      <c r="J80" s="136">
        <v>0</v>
      </c>
      <c r="K80" s="137">
        <v>0</v>
      </c>
      <c r="L80" s="131">
        <v>0</v>
      </c>
      <c r="M80" s="6"/>
      <c r="N80" s="162"/>
      <c r="O80" s="6"/>
      <c r="P80" s="6"/>
      <c r="Q80" s="161"/>
      <c r="R80" s="6"/>
      <c r="S80" s="6"/>
      <c r="T80" s="6"/>
      <c r="U80" s="162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</row>
    <row r="81" spans="1:216" ht="22.5" customHeight="1" thickBot="1" x14ac:dyDescent="0.55000000000000004">
      <c r="A81" s="181"/>
      <c r="B81" s="178"/>
      <c r="C81" s="179"/>
      <c r="D81" s="126">
        <v>0</v>
      </c>
      <c r="E81" s="127">
        <v>0</v>
      </c>
      <c r="F81" s="128">
        <v>0</v>
      </c>
      <c r="G81" s="189"/>
      <c r="H81" s="185">
        <v>8770</v>
      </c>
      <c r="I81" s="191"/>
      <c r="J81" s="136">
        <v>0</v>
      </c>
      <c r="K81" s="137">
        <v>0</v>
      </c>
      <c r="L81" s="137">
        <v>0</v>
      </c>
      <c r="M81" s="6"/>
      <c r="N81" s="162"/>
      <c r="O81" s="6"/>
      <c r="P81" s="6"/>
      <c r="Q81" s="161"/>
      <c r="R81" s="6"/>
      <c r="S81" s="6"/>
      <c r="T81" s="6"/>
      <c r="U81" s="162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</row>
    <row r="82" spans="1:216" ht="22.5" customHeight="1" thickBot="1" x14ac:dyDescent="0.55000000000000004">
      <c r="A82" s="181">
        <v>4610</v>
      </c>
      <c r="B82" s="192"/>
      <c r="C82" s="193"/>
      <c r="D82" s="136">
        <v>0</v>
      </c>
      <c r="E82" s="137">
        <v>0</v>
      </c>
      <c r="F82" s="128">
        <v>0</v>
      </c>
      <c r="G82" s="189"/>
      <c r="H82" s="185">
        <v>8880</v>
      </c>
      <c r="I82" s="191"/>
      <c r="J82" s="136">
        <v>0</v>
      </c>
      <c r="K82" s="137">
        <v>0</v>
      </c>
      <c r="L82" s="131">
        <v>0</v>
      </c>
      <c r="M82" s="6"/>
      <c r="N82" s="162"/>
      <c r="O82" s="6"/>
      <c r="P82" s="6"/>
      <c r="Q82" s="161"/>
      <c r="R82" s="6"/>
      <c r="S82" s="6"/>
      <c r="T82" s="6"/>
      <c r="U82" s="162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</row>
    <row r="83" spans="1:216" ht="22.5" customHeight="1" thickBot="1" x14ac:dyDescent="0.55000000000000004">
      <c r="A83" s="188" t="s">
        <v>74</v>
      </c>
      <c r="B83" s="194"/>
      <c r="C83" s="195"/>
      <c r="D83" s="136">
        <v>0</v>
      </c>
      <c r="E83" s="137">
        <v>0</v>
      </c>
      <c r="F83" s="128">
        <v>0</v>
      </c>
      <c r="G83" s="102"/>
      <c r="H83" s="185">
        <v>9200</v>
      </c>
      <c r="I83" s="191"/>
      <c r="J83" s="136">
        <v>110</v>
      </c>
      <c r="K83" s="137">
        <v>274.57</v>
      </c>
      <c r="L83" s="137">
        <v>11</v>
      </c>
      <c r="M83" s="6"/>
      <c r="N83" s="162"/>
      <c r="O83" s="6"/>
      <c r="P83" s="6"/>
      <c r="Q83" s="161"/>
      <c r="R83" s="6"/>
      <c r="S83" s="6"/>
      <c r="T83" s="6"/>
      <c r="U83" s="162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216" ht="22.5" customHeight="1" thickBot="1" x14ac:dyDescent="0.55000000000000004">
      <c r="A84" s="185" t="s">
        <v>75</v>
      </c>
      <c r="B84" s="196"/>
      <c r="C84" s="197"/>
      <c r="D84" s="136">
        <v>10</v>
      </c>
      <c r="E84" s="137">
        <v>27.34</v>
      </c>
      <c r="F84" s="128">
        <v>1</v>
      </c>
      <c r="G84" s="198"/>
      <c r="H84" s="199">
        <v>9800</v>
      </c>
      <c r="I84" s="200"/>
      <c r="J84" s="136">
        <v>96</v>
      </c>
      <c r="K84" s="137">
        <v>151.74</v>
      </c>
      <c r="L84" s="131">
        <v>9.6000000000000014</v>
      </c>
      <c r="M84" s="6"/>
      <c r="N84" s="162"/>
      <c r="O84" s="6"/>
      <c r="P84" s="6"/>
      <c r="Q84" s="161"/>
      <c r="R84" s="6"/>
      <c r="S84" s="6"/>
      <c r="T84" s="6"/>
      <c r="U84" s="162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216" ht="22.5" customHeight="1" thickBot="1" x14ac:dyDescent="0.55000000000000004">
      <c r="A85" s="188">
        <v>4660</v>
      </c>
      <c r="B85" s="192"/>
      <c r="C85" s="193"/>
      <c r="D85" s="136">
        <v>0</v>
      </c>
      <c r="E85" s="137">
        <v>0</v>
      </c>
      <c r="F85" s="128">
        <v>0</v>
      </c>
      <c r="G85" s="198"/>
      <c r="H85" s="201" t="s">
        <v>76</v>
      </c>
      <c r="I85" s="195"/>
      <c r="J85" s="136">
        <v>0</v>
      </c>
      <c r="K85" s="137">
        <v>0</v>
      </c>
      <c r="L85" s="137">
        <v>0</v>
      </c>
      <c r="M85" s="6"/>
      <c r="N85" s="162"/>
      <c r="O85" s="6"/>
      <c r="P85" s="6"/>
      <c r="Q85" s="161"/>
      <c r="R85" s="6"/>
      <c r="S85" s="6"/>
      <c r="T85" s="6"/>
      <c r="U85" s="162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216" ht="22.5" customHeight="1" thickBot="1" x14ac:dyDescent="0.55000000000000004">
      <c r="A86" s="185" t="s">
        <v>77</v>
      </c>
      <c r="B86" s="194"/>
      <c r="C86" s="195"/>
      <c r="D86" s="136">
        <v>18</v>
      </c>
      <c r="E86" s="137">
        <v>41.160000000000004</v>
      </c>
      <c r="F86" s="128">
        <v>1.8</v>
      </c>
      <c r="G86" s="198"/>
      <c r="H86" s="201">
        <v>9810</v>
      </c>
      <c r="I86" s="202"/>
      <c r="J86" s="136">
        <v>0</v>
      </c>
      <c r="K86" s="137">
        <v>0</v>
      </c>
      <c r="L86" s="131">
        <v>0</v>
      </c>
      <c r="M86" s="6"/>
      <c r="N86" s="162"/>
      <c r="O86" s="6"/>
      <c r="P86" s="6"/>
      <c r="Q86" s="161"/>
      <c r="R86" s="6"/>
      <c r="S86" s="6"/>
      <c r="T86" s="6"/>
      <c r="U86" s="162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216" ht="22.5" customHeight="1" thickBot="1" x14ac:dyDescent="0.55000000000000004">
      <c r="A87" s="181" t="s">
        <v>78</v>
      </c>
      <c r="B87" s="192"/>
      <c r="C87" s="193"/>
      <c r="D87" s="136">
        <v>40</v>
      </c>
      <c r="E87" s="137">
        <v>91.87</v>
      </c>
      <c r="F87" s="128">
        <v>4</v>
      </c>
      <c r="G87" s="198"/>
      <c r="H87" s="201">
        <v>9820</v>
      </c>
      <c r="I87" s="203"/>
      <c r="J87" s="136">
        <v>0</v>
      </c>
      <c r="K87" s="137">
        <v>0</v>
      </c>
      <c r="L87" s="137">
        <v>0</v>
      </c>
      <c r="M87" s="6"/>
      <c r="N87" s="162"/>
      <c r="O87" s="6"/>
      <c r="P87" s="6"/>
      <c r="Q87" s="161"/>
      <c r="R87" s="6"/>
      <c r="S87" s="6"/>
      <c r="T87" s="6"/>
      <c r="U87" s="162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216" ht="22.5" customHeight="1" thickBot="1" x14ac:dyDescent="0.55000000000000004">
      <c r="A88" s="181" t="s">
        <v>79</v>
      </c>
      <c r="B88" s="194"/>
      <c r="C88" s="195"/>
      <c r="D88" s="136">
        <v>0</v>
      </c>
      <c r="E88" s="137">
        <v>0</v>
      </c>
      <c r="F88" s="128">
        <v>0</v>
      </c>
      <c r="G88" s="198"/>
      <c r="H88" s="201">
        <v>9830</v>
      </c>
      <c r="I88" s="202"/>
      <c r="J88" s="136">
        <v>0</v>
      </c>
      <c r="K88" s="137">
        <v>0</v>
      </c>
      <c r="L88" s="131">
        <v>0</v>
      </c>
      <c r="M88" s="6"/>
      <c r="N88" s="162"/>
      <c r="O88" s="6"/>
      <c r="P88" s="6"/>
      <c r="Q88" s="161"/>
      <c r="R88" s="6"/>
      <c r="S88" s="6"/>
      <c r="T88" s="6"/>
      <c r="U88" s="162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216" ht="22.5" customHeight="1" thickBot="1" x14ac:dyDescent="0.55000000000000004">
      <c r="A89" s="181" t="s">
        <v>80</v>
      </c>
      <c r="B89" s="196"/>
      <c r="C89" s="197"/>
      <c r="D89" s="136">
        <v>0</v>
      </c>
      <c r="E89" s="137">
        <v>0</v>
      </c>
      <c r="F89" s="128">
        <v>0</v>
      </c>
      <c r="G89" s="198"/>
      <c r="H89" s="201">
        <v>9840</v>
      </c>
      <c r="I89" s="203"/>
      <c r="J89" s="136">
        <v>0</v>
      </c>
      <c r="K89" s="137">
        <v>0</v>
      </c>
      <c r="L89" s="137">
        <v>0</v>
      </c>
      <c r="M89" s="6"/>
      <c r="N89" s="162"/>
      <c r="O89" s="6"/>
      <c r="P89" s="6"/>
      <c r="Q89" s="161"/>
      <c r="R89" s="6"/>
      <c r="S89" s="6"/>
      <c r="T89" s="6"/>
      <c r="U89" s="162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216" ht="22.5" customHeight="1" thickBot="1" x14ac:dyDescent="0.55000000000000004">
      <c r="A90" s="185">
        <v>4810</v>
      </c>
      <c r="B90" s="196"/>
      <c r="C90" s="197"/>
      <c r="D90" s="136">
        <v>0</v>
      </c>
      <c r="E90" s="137">
        <v>0</v>
      </c>
      <c r="F90" s="128">
        <v>0</v>
      </c>
      <c r="G90" s="198"/>
      <c r="H90" s="201">
        <v>9850</v>
      </c>
      <c r="I90" s="202"/>
      <c r="J90" s="136">
        <v>0</v>
      </c>
      <c r="K90" s="137">
        <v>0</v>
      </c>
      <c r="L90" s="131">
        <v>0</v>
      </c>
      <c r="M90" s="6"/>
      <c r="N90" s="162"/>
      <c r="O90" s="6"/>
      <c r="P90" s="6"/>
      <c r="Q90" s="161"/>
      <c r="R90" s="6"/>
      <c r="S90" s="6"/>
      <c r="T90" s="6"/>
      <c r="U90" s="162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216" ht="22.5" customHeight="1" thickBot="1" x14ac:dyDescent="0.55000000000000004">
      <c r="A91" s="129">
        <v>4830</v>
      </c>
      <c r="B91" s="196"/>
      <c r="C91" s="197"/>
      <c r="D91" s="136">
        <v>0</v>
      </c>
      <c r="E91" s="137">
        <v>0</v>
      </c>
      <c r="F91" s="128">
        <v>0</v>
      </c>
      <c r="G91" s="198"/>
      <c r="H91" s="204" t="s">
        <v>81</v>
      </c>
      <c r="I91" s="205"/>
      <c r="J91" s="136">
        <v>0</v>
      </c>
      <c r="K91" s="137">
        <v>0</v>
      </c>
      <c r="L91" s="137">
        <v>0</v>
      </c>
      <c r="M91" s="6"/>
      <c r="N91" s="162"/>
      <c r="O91" s="6"/>
      <c r="P91" s="6"/>
      <c r="Q91" s="161"/>
      <c r="R91" s="6"/>
      <c r="S91" s="6"/>
      <c r="T91" s="6"/>
      <c r="U91" s="162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216" ht="22.5" customHeight="1" thickBot="1" x14ac:dyDescent="0.55000000000000004">
      <c r="A92" s="129">
        <v>4850</v>
      </c>
      <c r="B92" s="196"/>
      <c r="C92" s="197"/>
      <c r="D92" s="136">
        <v>0</v>
      </c>
      <c r="E92" s="137">
        <v>0</v>
      </c>
      <c r="F92" s="128">
        <v>0</v>
      </c>
      <c r="G92" s="198"/>
      <c r="H92" s="199" t="s">
        <v>82</v>
      </c>
      <c r="I92" s="205"/>
      <c r="J92" s="136">
        <v>0</v>
      </c>
      <c r="K92" s="137">
        <v>0</v>
      </c>
      <c r="L92" s="131">
        <v>0</v>
      </c>
      <c r="M92" s="6"/>
      <c r="N92" s="162"/>
      <c r="O92" s="6"/>
      <c r="P92" s="6"/>
      <c r="Q92" s="161"/>
      <c r="R92" s="6"/>
      <c r="S92" s="6"/>
      <c r="T92" s="6"/>
      <c r="U92" s="162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216" ht="22.5" customHeight="1" thickBot="1" x14ac:dyDescent="0.55000000000000004">
      <c r="A93" s="129">
        <v>4880</v>
      </c>
      <c r="B93" s="194"/>
      <c r="C93" s="195"/>
      <c r="D93" s="136">
        <v>0</v>
      </c>
      <c r="E93" s="137">
        <v>0</v>
      </c>
      <c r="F93" s="128">
        <v>0</v>
      </c>
      <c r="G93" s="198"/>
      <c r="H93" s="199">
        <v>9860</v>
      </c>
      <c r="I93" s="205"/>
      <c r="J93" s="136">
        <v>0</v>
      </c>
      <c r="K93" s="137">
        <v>0</v>
      </c>
      <c r="L93" s="137">
        <v>0</v>
      </c>
      <c r="M93" s="6"/>
      <c r="N93" s="162"/>
      <c r="O93" s="6"/>
      <c r="P93" s="6"/>
      <c r="Q93" s="161"/>
      <c r="R93" s="6"/>
      <c r="S93" s="6"/>
      <c r="T93" s="6"/>
      <c r="U93" s="162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216" ht="22.5" customHeight="1" thickBot="1" x14ac:dyDescent="0.55000000000000004">
      <c r="A94" s="129">
        <v>4930</v>
      </c>
      <c r="B94" s="196"/>
      <c r="C94" s="197"/>
      <c r="D94" s="136">
        <v>0</v>
      </c>
      <c r="E94" s="137">
        <v>0</v>
      </c>
      <c r="F94" s="128">
        <v>0</v>
      </c>
      <c r="G94" s="198"/>
      <c r="H94" s="206">
        <v>9870</v>
      </c>
      <c r="I94" s="205"/>
      <c r="J94" s="136">
        <v>1</v>
      </c>
      <c r="K94" s="137">
        <v>2.0699999999999998</v>
      </c>
      <c r="L94" s="131">
        <v>0.1</v>
      </c>
      <c r="M94" s="6"/>
      <c r="N94" s="162"/>
      <c r="O94" s="6"/>
      <c r="P94" s="6"/>
      <c r="Q94" s="161"/>
      <c r="R94" s="6"/>
      <c r="S94" s="6"/>
      <c r="T94" s="6"/>
      <c r="U94" s="162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216" ht="22.5" customHeight="1" thickBot="1" x14ac:dyDescent="0.55000000000000004">
      <c r="A95" s="129">
        <v>4950</v>
      </c>
      <c r="B95" s="196"/>
      <c r="C95" s="197"/>
      <c r="D95" s="136">
        <v>0</v>
      </c>
      <c r="E95" s="137">
        <v>0</v>
      </c>
      <c r="F95" s="128">
        <v>0</v>
      </c>
      <c r="G95" s="198"/>
      <c r="H95" s="207">
        <v>9880</v>
      </c>
      <c r="I95" s="203"/>
      <c r="J95" s="126">
        <v>0</v>
      </c>
      <c r="K95" s="130">
        <v>0</v>
      </c>
      <c r="L95" s="137">
        <v>0</v>
      </c>
      <c r="M95" s="6"/>
      <c r="N95" s="162"/>
      <c r="O95" s="6"/>
      <c r="P95" s="6"/>
      <c r="Q95" s="161"/>
      <c r="R95" s="6"/>
      <c r="S95" s="6"/>
      <c r="T95" s="6"/>
      <c r="U95" s="162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216" ht="22.5" customHeight="1" thickBot="1" x14ac:dyDescent="0.55000000000000004">
      <c r="A96" s="129">
        <v>5020</v>
      </c>
      <c r="B96" s="194"/>
      <c r="C96" s="195"/>
      <c r="D96" s="136">
        <v>0</v>
      </c>
      <c r="E96" s="137">
        <v>0</v>
      </c>
      <c r="F96" s="208">
        <v>0</v>
      </c>
      <c r="G96" s="198"/>
      <c r="H96" s="209">
        <v>9890</v>
      </c>
      <c r="I96" s="210"/>
      <c r="J96" s="136">
        <v>0</v>
      </c>
      <c r="K96" s="137">
        <v>0</v>
      </c>
      <c r="L96" s="131">
        <v>0</v>
      </c>
      <c r="M96" s="6"/>
      <c r="N96" s="162"/>
      <c r="O96" s="6"/>
      <c r="P96" s="6"/>
      <c r="Q96" s="161"/>
      <c r="R96" s="6"/>
      <c r="S96" s="6"/>
      <c r="T96" s="6"/>
      <c r="U96" s="162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48" ht="22.5" customHeight="1" thickBot="1" x14ac:dyDescent="0.4">
      <c r="A97" s="138"/>
      <c r="B97" s="211">
        <f>SUM(E37:E96)</f>
        <v>6764.55</v>
      </c>
      <c r="C97" s="211">
        <f>SUM(F37:F97)</f>
        <v>238.8</v>
      </c>
      <c r="D97" s="212">
        <v>0</v>
      </c>
      <c r="E97" s="213">
        <v>0</v>
      </c>
      <c r="F97" s="2">
        <v>0</v>
      </c>
      <c r="H97" s="214" t="s">
        <v>83</v>
      </c>
      <c r="I97" s="121"/>
      <c r="J97" s="101">
        <v>0</v>
      </c>
      <c r="K97" s="215">
        <v>0</v>
      </c>
      <c r="L97" s="137">
        <v>0</v>
      </c>
      <c r="M97" s="6"/>
      <c r="N97" s="6"/>
      <c r="O97" s="6"/>
      <c r="P97" s="6"/>
      <c r="Q97" s="161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48" ht="22.5" customHeight="1" x14ac:dyDescent="0.2">
      <c r="A98" s="212">
        <f>SUM(D37:D97)</f>
        <v>2388</v>
      </c>
      <c r="B98" s="211">
        <f>SUM(K37:K97)</f>
        <v>1658.83</v>
      </c>
      <c r="C98" s="211">
        <f>SUM(L37:L97)</f>
        <v>68.699999999999989</v>
      </c>
      <c r="D98" s="6"/>
      <c r="K98" s="21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48" ht="22.5" customHeight="1" thickBot="1" x14ac:dyDescent="0.25">
      <c r="A99" s="212">
        <f>SUM(J37:J97)</f>
        <v>688</v>
      </c>
      <c r="B99" s="6"/>
      <c r="C99" s="6"/>
      <c r="D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48" ht="27.75" thickBot="1" x14ac:dyDescent="0.55000000000000004">
      <c r="A100" s="6"/>
      <c r="B100" s="6"/>
      <c r="C100" s="6"/>
      <c r="D100" s="6"/>
      <c r="E100" s="217" t="s">
        <v>55</v>
      </c>
      <c r="F100" s="218"/>
      <c r="G100" s="219" t="s">
        <v>84</v>
      </c>
      <c r="H100" s="220" t="s">
        <v>31</v>
      </c>
      <c r="I100" s="221" t="s">
        <v>84</v>
      </c>
      <c r="J100" s="222" t="s">
        <v>32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48" ht="21" thickBot="1" x14ac:dyDescent="0.35">
      <c r="A101" s="6"/>
      <c r="B101" s="6"/>
      <c r="C101" s="6"/>
      <c r="D101" s="6"/>
      <c r="E101" s="223">
        <f>SUM(A98+A99)</f>
        <v>3076</v>
      </c>
      <c r="F101" s="223"/>
      <c r="G101" s="224">
        <f>SUM(B97+B98)</f>
        <v>8423.380000000001</v>
      </c>
      <c r="H101" s="121"/>
      <c r="I101" s="225"/>
      <c r="J101" s="226">
        <f>SUM(C97+C98)</f>
        <v>307.5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48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48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48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48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48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48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48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48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48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">
      <c r="A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">
      <c r="A206" s="6"/>
      <c r="M206" s="6"/>
    </row>
  </sheetData>
  <hyperlinks>
    <hyperlink ref="B19" r:id="rId1" xr:uid="{7081971F-E21B-4807-A912-5FECB381C318}"/>
    <hyperlink ref="C10" r:id="rId2" xr:uid="{9A107A47-0C4F-4233-A5D2-62D690D025AF}"/>
    <hyperlink ref="J74" r:id="rId3" display="BC BS first cls flats 2025.xlsx" xr:uid="{0E29326E-8BBD-4A91-A5A1-3D42F5E14655}"/>
  </hyperlinks>
  <pageMargins left="0" right="0" top="0" bottom="1" header="0.5" footer="0"/>
  <pageSetup paperSize="17" scale="40" orientation="portrait" horizontalDpi="4294967293" verticalDpi="300" r:id="rId4"/>
  <headerFooter alignWithMargins="0"/>
  <colBreaks count="1" manualBreakCount="1">
    <brk id="13" min="3" max="107" man="1"/>
  </col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 30 2026</vt:lpstr>
      <vt:lpstr>'Jan 30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Hansen</dc:creator>
  <cp:lastModifiedBy>Jason Hansen</cp:lastModifiedBy>
  <dcterms:created xsi:type="dcterms:W3CDTF">2026-04-06T00:45:05Z</dcterms:created>
  <dcterms:modified xsi:type="dcterms:W3CDTF">2026-04-06T00:45:29Z</dcterms:modified>
</cp:coreProperties>
</file>