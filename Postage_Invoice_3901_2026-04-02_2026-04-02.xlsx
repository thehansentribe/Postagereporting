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6" max="6"/>
    <col width="12" customWidth="1" min="7" max="7"/>
    <col width="14" customWidth="1" min="8" max="8"/>
    <col width="10" customWidth="1" min="9" max="9"/>
    <col width="13" customWidth="1" min="10" max="10"/>
    <col width="10" customWidth="1" min="11" max="11"/>
    <col width="12" customWidth="1" min="12" max="12"/>
    <col width="14" customWidth="1" min="13" max="13"/>
  </cols>
  <sheetData>
    <row r="1">
      <c r="A1" s="1" t="inlineStr">
        <is>
          <t xml:space="preserve">INVOICE # </t>
        </is>
      </c>
      <c r="C1" s="1" t="n">
        <v>1</v>
      </c>
    </row>
    <row r="2">
      <c r="M2" s="1" t="inlineStr">
        <is>
          <t>Week ending</t>
        </is>
      </c>
    </row>
    <row r="3">
      <c r="A3" s="1" t="inlineStr">
        <is>
          <t xml:space="preserve">Bill to: </t>
        </is>
      </c>
      <c r="C3" s="1" t="inlineStr">
        <is>
          <t>Blue Cross Blue Shield -EFD</t>
        </is>
      </c>
      <c r="L3" s="1" t="inlineStr">
        <is>
          <t>Project Date:</t>
        </is>
      </c>
      <c r="M3" s="1">
        <f>F14</f>
        <v/>
      </c>
    </row>
    <row r="4">
      <c r="A4" s="1" t="inlineStr">
        <is>
          <t>Attn:</t>
        </is>
      </c>
      <c r="C4" s="1" t="inlineStr">
        <is>
          <t>Chris Torrez</t>
        </is>
      </c>
      <c r="L4" s="1" t="inlineStr">
        <is>
          <t>Customer ID#</t>
        </is>
      </c>
      <c r="M4" s="1" t="inlineStr">
        <is>
          <t xml:space="preserve">            1st 0012</t>
        </is>
      </c>
    </row>
    <row r="5">
      <c r="C5" s="1" t="inlineStr">
        <is>
          <t>1133 S.W. Topeka Blvd.</t>
        </is>
      </c>
    </row>
    <row r="6">
      <c r="C6" s="1" t="inlineStr">
        <is>
          <t>Topeka, KS 66629-0001</t>
        </is>
      </c>
    </row>
    <row r="7"/>
    <row r="8">
      <c r="A8" s="1" t="inlineStr">
        <is>
          <t>Phone #</t>
        </is>
      </c>
      <c r="C8" s="1" t="inlineStr">
        <is>
          <t>785-291-8681</t>
        </is>
      </c>
    </row>
    <row r="9">
      <c r="A9" s="1" t="inlineStr">
        <is>
          <t>Fax#</t>
        </is>
      </c>
      <c r="C9" s="1" t="inlineStr">
        <is>
          <t>785-291-8548</t>
        </is>
      </c>
    </row>
    <row r="10">
      <c r="A10" s="1" t="inlineStr">
        <is>
          <t>email:</t>
        </is>
      </c>
      <c r="C10" s="1" t="inlineStr">
        <is>
          <t>Chris.Torrez@bcbsks.com</t>
        </is>
      </c>
    </row>
    <row r="11">
      <c r="I11" s="1" t="inlineStr">
        <is>
          <t>Account Summary for Blue Cross Blue Shield -EFD</t>
        </is>
      </c>
    </row>
    <row r="12">
      <c r="D12" s="1" t="inlineStr">
        <is>
          <t>Previous Acct. Balance</t>
        </is>
      </c>
      <c r="G12" s="1" t="inlineStr">
        <is>
          <t xml:space="preserve">Funds  </t>
        </is>
      </c>
      <c r="H12" s="1" t="inlineStr">
        <is>
          <t>Deposit</t>
        </is>
      </c>
      <c r="J12" s="1" t="inlineStr">
        <is>
          <t xml:space="preserve">Funds  </t>
        </is>
      </c>
      <c r="K12" s="1" t="inlineStr">
        <is>
          <t xml:space="preserve"> Used</t>
        </is>
      </c>
      <c r="M12" s="1" t="inlineStr">
        <is>
          <t>New Balance</t>
        </is>
      </c>
    </row>
    <row r="13">
      <c r="E13" s="1" t="n">
        <v>0</v>
      </c>
      <c r="G13" s="1" t="n">
        <v>0</v>
      </c>
      <c r="J13" s="1" t="inlineStr">
        <is>
          <t>$</t>
        </is>
      </c>
      <c r="K13" s="1">
        <f>L34</f>
        <v/>
      </c>
      <c r="M13" s="1">
        <f>(E13+G13)-K13</f>
        <v/>
      </c>
    </row>
    <row r="14">
      <c r="A14" s="1" t="inlineStr">
        <is>
          <t xml:space="preserve">2820 Roe Lane Bldg U </t>
        </is>
      </c>
      <c r="F14" s="2" t="n">
        <v>46114</v>
      </c>
    </row>
    <row r="15">
      <c r="A15" s="1" t="inlineStr">
        <is>
          <t>Kansas City, KS 66103</t>
        </is>
      </c>
      <c r="F15" s="1" t="inlineStr">
        <is>
          <t>Weight</t>
        </is>
      </c>
      <c r="G15" s="1" t="inlineStr">
        <is>
          <t>1st Class</t>
        </is>
      </c>
      <c r="H15" s="1" t="inlineStr">
        <is>
          <t>EFD 1st Class</t>
        </is>
      </c>
      <c r="I15" s="1" t="inlineStr">
        <is>
          <t>Total #'s</t>
        </is>
      </c>
      <c r="J15" s="1" t="inlineStr">
        <is>
          <t>IMB rejects</t>
        </is>
      </c>
      <c r="K15" s="1" t="inlineStr">
        <is>
          <t>Total #'s</t>
        </is>
      </c>
      <c r="L15" s="1" t="inlineStr">
        <is>
          <t>Costs</t>
        </is>
      </c>
      <c r="M15" s="1" t="inlineStr">
        <is>
          <t>Savings</t>
        </is>
      </c>
    </row>
    <row r="16">
      <c r="F16" s="1" t="inlineStr">
        <is>
          <t>1 oz</t>
        </is>
      </c>
      <c r="G16" s="3" t="n">
        <v>0</v>
      </c>
      <c r="H16" s="3" t="n">
        <v>0</v>
      </c>
      <c r="I16" s="4" t="n">
        <v>0</v>
      </c>
      <c r="J16" s="3" t="n">
        <v>0</v>
      </c>
      <c r="K16" s="4" t="n">
        <v>0</v>
      </c>
      <c r="L16" s="3">
        <f>H16*I16+J16*K16</f>
        <v/>
      </c>
      <c r="M16" s="3">
        <f>G16*I16+G16*K16-L16</f>
        <v/>
      </c>
    </row>
    <row r="17">
      <c r="A17" s="1" t="inlineStr">
        <is>
          <t>phone</t>
        </is>
      </c>
      <c r="B17" s="1" t="inlineStr">
        <is>
          <t>913-671-0011</t>
        </is>
      </c>
      <c r="F17" s="1" t="inlineStr">
        <is>
          <t>2 oz</t>
        </is>
      </c>
      <c r="G17" s="3" t="n">
        <v>0</v>
      </c>
      <c r="H17" s="3" t="n">
        <v>0</v>
      </c>
      <c r="I17" s="4" t="n">
        <v>34</v>
      </c>
      <c r="J17" s="3" t="n">
        <v>0</v>
      </c>
      <c r="K17" s="4" t="n">
        <v>0</v>
      </c>
      <c r="L17" s="3">
        <f>H17*I17+J17*K17</f>
        <v/>
      </c>
      <c r="M17" s="3">
        <f>G17*I17+G17*K17-L17</f>
        <v/>
      </c>
    </row>
    <row r="18">
      <c r="A18" s="1" t="inlineStr">
        <is>
          <t xml:space="preserve">fax </t>
        </is>
      </c>
      <c r="B18" s="1" t="inlineStr">
        <is>
          <t>913-403-9919</t>
        </is>
      </c>
      <c r="F18" s="1" t="inlineStr">
        <is>
          <t>3 oz</t>
        </is>
      </c>
      <c r="G18" s="3" t="n">
        <v>0</v>
      </c>
      <c r="H18" s="3" t="n">
        <v>0</v>
      </c>
      <c r="I18" s="4" t="n">
        <v>57</v>
      </c>
      <c r="J18" s="3" t="n">
        <v>0</v>
      </c>
      <c r="K18" s="4" t="n">
        <v>0</v>
      </c>
      <c r="L18" s="3">
        <f>H18*I18+J18*K18</f>
        <v/>
      </c>
      <c r="M18" s="3">
        <f>G18*I18+G18*K18-L18</f>
        <v/>
      </c>
    </row>
    <row r="19">
      <c r="A19" s="1" t="inlineStr">
        <is>
          <t xml:space="preserve">email </t>
        </is>
      </c>
      <c r="B19" s="1" t="inlineStr">
        <is>
          <t>efdmailing@aol.com</t>
        </is>
      </c>
      <c r="F19" s="1" t="inlineStr">
        <is>
          <t>4 oz</t>
        </is>
      </c>
      <c r="G19" s="3" t="n">
        <v>0</v>
      </c>
      <c r="H19" s="3" t="n">
        <v>0</v>
      </c>
      <c r="I19" s="4" t="n">
        <v>18</v>
      </c>
      <c r="J19" s="3" t="n">
        <v>0</v>
      </c>
      <c r="K19" s="4" t="n">
        <v>0</v>
      </c>
      <c r="L19" s="3">
        <f>H19*I19+J19*K19</f>
        <v/>
      </c>
      <c r="M19" s="3">
        <f>G19*I19+G19*K19-L19</f>
        <v/>
      </c>
    </row>
    <row r="20">
      <c r="F20" s="1" t="inlineStr">
        <is>
          <t>5 oz</t>
        </is>
      </c>
      <c r="G20" s="3" t="n">
        <v>0</v>
      </c>
      <c r="H20" s="3" t="n">
        <v>0</v>
      </c>
      <c r="I20" s="4" t="n">
        <v>27</v>
      </c>
      <c r="J20" s="3" t="n">
        <v>0</v>
      </c>
      <c r="K20" s="4" t="n">
        <v>0</v>
      </c>
      <c r="L20" s="3">
        <f>H20*I20+J20*K20</f>
        <v/>
      </c>
      <c r="M20" s="3">
        <f>G20*I20+G20*K20-L20</f>
        <v/>
      </c>
    </row>
    <row r="21">
      <c r="F21" s="1" t="inlineStr">
        <is>
          <t>6 oz</t>
        </is>
      </c>
      <c r="G21" s="3" t="n">
        <v>0</v>
      </c>
      <c r="H21" s="3" t="n">
        <v>0</v>
      </c>
      <c r="I21" s="4" t="n">
        <v>26</v>
      </c>
      <c r="J21" s="3" t="n">
        <v>0</v>
      </c>
      <c r="K21" s="4" t="n">
        <v>0</v>
      </c>
      <c r="L21" s="3">
        <f>H21*I21+J21*K21</f>
        <v/>
      </c>
      <c r="M21" s="3">
        <f>G21*I21+G21*K21-L21</f>
        <v/>
      </c>
    </row>
    <row r="22">
      <c r="F22" s="1" t="inlineStr">
        <is>
          <t>7 oz</t>
        </is>
      </c>
      <c r="G22" s="3" t="n">
        <v>0</v>
      </c>
      <c r="H22" s="3" t="n">
        <v>0</v>
      </c>
      <c r="I22" s="4" t="n">
        <v>18</v>
      </c>
      <c r="J22" s="3" t="n">
        <v>0</v>
      </c>
      <c r="K22" s="4" t="n">
        <v>0</v>
      </c>
      <c r="L22" s="3">
        <f>H22*I22+J22*K22</f>
        <v/>
      </c>
      <c r="M22" s="3">
        <f>G22*I22+G22*K22-L22</f>
        <v/>
      </c>
    </row>
    <row r="23">
      <c r="F23" s="1" t="inlineStr">
        <is>
          <t>8 oz</t>
        </is>
      </c>
      <c r="G23" s="3" t="n">
        <v>0</v>
      </c>
      <c r="H23" s="3" t="n">
        <v>0</v>
      </c>
      <c r="I23" s="4" t="n">
        <v>30</v>
      </c>
      <c r="J23" s="3" t="n">
        <v>0</v>
      </c>
      <c r="K23" s="4" t="n">
        <v>0</v>
      </c>
      <c r="L23" s="3">
        <f>H23*I23+J23*K23</f>
        <v/>
      </c>
      <c r="M23" s="3">
        <f>G23*I23+G23*K23-L23</f>
        <v/>
      </c>
    </row>
    <row r="24">
      <c r="F24" s="1" t="inlineStr">
        <is>
          <t>9 oz</t>
        </is>
      </c>
      <c r="G24" s="3" t="n">
        <v>0</v>
      </c>
      <c r="H24" s="3" t="n">
        <v>0</v>
      </c>
      <c r="I24" s="4" t="n">
        <v>5</v>
      </c>
      <c r="J24" s="3" t="n">
        <v>0</v>
      </c>
      <c r="K24" s="4" t="n">
        <v>0</v>
      </c>
      <c r="L24" s="3">
        <f>H24*I24+J24*K24</f>
        <v/>
      </c>
      <c r="M24" s="3">
        <f>G24*I24+G24*K24-L24</f>
        <v/>
      </c>
    </row>
    <row r="25">
      <c r="F25" s="1" t="inlineStr">
        <is>
          <t>10 oz</t>
        </is>
      </c>
      <c r="G25" s="3" t="n">
        <v>0</v>
      </c>
      <c r="H25" s="3" t="n">
        <v>0</v>
      </c>
      <c r="I25" s="4" t="n">
        <v>3</v>
      </c>
      <c r="J25" s="3" t="n">
        <v>0</v>
      </c>
      <c r="K25" s="4" t="n">
        <v>0</v>
      </c>
      <c r="L25" s="3">
        <f>H25*I25+J25*K25</f>
        <v/>
      </c>
      <c r="M25" s="3">
        <f>G25*I25+G25*K25-L25</f>
        <v/>
      </c>
    </row>
    <row r="26">
      <c r="F26" s="1" t="inlineStr">
        <is>
          <t>11 oz</t>
        </is>
      </c>
      <c r="G26" s="3" t="n">
        <v>0</v>
      </c>
      <c r="H26" s="3" t="n">
        <v>0</v>
      </c>
      <c r="I26" s="4" t="n">
        <v>1</v>
      </c>
      <c r="J26" s="3" t="n">
        <v>0</v>
      </c>
      <c r="K26" s="4" t="n">
        <v>0</v>
      </c>
      <c r="L26" s="3">
        <f>H26*I26+J26*K26</f>
        <v/>
      </c>
      <c r="M26" s="3">
        <f>G26*I26+G26*K26-L26</f>
        <v/>
      </c>
    </row>
    <row r="27">
      <c r="F27" s="1" t="inlineStr">
        <is>
          <t>12 oz</t>
        </is>
      </c>
      <c r="G27" s="3" t="n">
        <v>0</v>
      </c>
      <c r="H27" s="3" t="n">
        <v>0</v>
      </c>
      <c r="I27" s="4" t="n">
        <v>0</v>
      </c>
      <c r="J27" s="3" t="n">
        <v>0</v>
      </c>
      <c r="K27" s="4" t="n">
        <v>0</v>
      </c>
      <c r="L27" s="3">
        <f>H27*I27+J27*K27</f>
        <v/>
      </c>
      <c r="M27" s="3">
        <f>G27*I27+G27*K27-L27</f>
        <v/>
      </c>
    </row>
    <row r="28">
      <c r="F28" s="1" t="inlineStr">
        <is>
          <t>13 oz</t>
        </is>
      </c>
      <c r="G28" s="3" t="n">
        <v>0</v>
      </c>
      <c r="H28" s="3" t="n">
        <v>0</v>
      </c>
      <c r="I28" s="4" t="n">
        <v>1</v>
      </c>
      <c r="J28" s="3" t="n">
        <v>0</v>
      </c>
      <c r="K28" s="4" t="n">
        <v>0</v>
      </c>
      <c r="L28" s="3">
        <f>H28*I28+J28*K28</f>
        <v/>
      </c>
      <c r="M28" s="3">
        <f>G28*I28+G28*K28-L28</f>
        <v/>
      </c>
    </row>
    <row r="29">
      <c r="L29" s="1">
        <f>H29*I29+J29*K29</f>
        <v/>
      </c>
      <c r="M29" s="1">
        <f>G29*I29+G29*K29-L29</f>
        <v/>
      </c>
    </row>
    <row r="30">
      <c r="L30" s="1">
        <f>H30*I30+J30*K30</f>
        <v/>
      </c>
      <c r="M30" s="1">
        <f>G30*I30+G30*K30-L30</f>
        <v/>
      </c>
    </row>
    <row r="31">
      <c r="L31" s="1">
        <f>H31*I31+J31*K31</f>
        <v/>
      </c>
      <c r="M31" s="1">
        <f>G31*I31+G31*K31-L31</f>
        <v/>
      </c>
    </row>
    <row r="32">
      <c r="F32" s="1" t="inlineStr">
        <is>
          <t>Foreign</t>
        </is>
      </c>
      <c r="G32" s="3" t="n">
        <v>10.1</v>
      </c>
      <c r="H32" s="3" t="n">
        <v>10</v>
      </c>
      <c r="I32" s="1" t="n">
        <v>0</v>
      </c>
      <c r="J32" s="3" t="n">
        <v>10.1</v>
      </c>
      <c r="K32" s="1" t="n">
        <v>0</v>
      </c>
      <c r="L32" s="3">
        <f>H32*I32+J32*K32</f>
        <v/>
      </c>
      <c r="M32" s="3">
        <f>G32*I32+G32*K32-L32</f>
        <v/>
      </c>
    </row>
    <row r="33">
      <c r="I33" s="1">
        <f>SUM(I16:I32)</f>
        <v/>
      </c>
      <c r="K33" s="1">
        <f>SUM(K16:K32)</f>
        <v/>
      </c>
      <c r="M33" s="1" t="inlineStr">
        <is>
          <t>Total Savings</t>
        </is>
      </c>
    </row>
    <row r="34">
      <c r="H34" s="1" t="inlineStr">
        <is>
          <t>Total Pieces</t>
        </is>
      </c>
      <c r="I34" s="1">
        <f>SUM(I33+K33)</f>
        <v/>
      </c>
      <c r="K34" s="1" t="inlineStr">
        <is>
          <t>Total Cost:</t>
        </is>
      </c>
      <c r="L34" s="3">
        <f>SUM(L16:L33)</f>
        <v/>
      </c>
      <c r="M34" s="3">
        <f>SUM(M16:M33)</f>
        <v/>
      </c>
    </row>
    <row r="36">
      <c r="A36" s="1" t="inlineStr">
        <is>
          <t xml:space="preserve">Cost Centers </t>
        </is>
      </c>
      <c r="D36" s="1" t="inlineStr">
        <is>
          <t xml:space="preserve"># Pieces </t>
        </is>
      </c>
      <c r="E36" s="1" t="inlineStr">
        <is>
          <t xml:space="preserve">Charges </t>
        </is>
      </c>
      <c r="F36" s="1" t="inlineStr">
        <is>
          <t xml:space="preserve">Savings </t>
        </is>
      </c>
      <c r="H36" s="1" t="inlineStr">
        <is>
          <t xml:space="preserve">Cost Centers </t>
        </is>
      </c>
      <c r="J36" s="1" t="inlineStr">
        <is>
          <t xml:space="preserve"># Pieces </t>
        </is>
      </c>
      <c r="K36" s="1" t="inlineStr">
        <is>
          <t xml:space="preserve">Charges </t>
        </is>
      </c>
      <c r="L36" s="1" t="inlineStr">
        <is>
          <t xml:space="preserve">Savings </t>
        </is>
      </c>
    </row>
    <row r="37">
      <c r="A37" s="1" t="n">
        <v>2169</v>
      </c>
      <c r="D37" s="1" t="n">
        <v>5</v>
      </c>
      <c r="E37" s="3" t="n">
        <v>7.84</v>
      </c>
      <c r="F37" s="3" t="n">
        <v>0.5</v>
      </c>
      <c r="H37" s="1" t="n">
        <v>2171</v>
      </c>
      <c r="J37" s="1" t="n">
        <v>10</v>
      </c>
      <c r="K37" s="3" t="n">
        <v>16.5</v>
      </c>
      <c r="L37" s="3" t="n">
        <v>1</v>
      </c>
    </row>
    <row r="38">
      <c r="A38" s="1" t="n">
        <v>2173</v>
      </c>
      <c r="D38" s="1" t="n">
        <v>1</v>
      </c>
      <c r="E38" s="3" t="n">
        <v>1.51</v>
      </c>
      <c r="F38" s="3" t="n">
        <v>0.1</v>
      </c>
      <c r="H38" s="1" t="n">
        <v>2191</v>
      </c>
      <c r="J38" s="1" t="n">
        <v>15</v>
      </c>
      <c r="K38" s="3" t="n">
        <v>24.31</v>
      </c>
      <c r="L38" s="3" t="n">
        <v>1.5</v>
      </c>
    </row>
    <row r="39">
      <c r="A39" s="1" t="n">
        <v>2197</v>
      </c>
      <c r="D39" s="1" t="n">
        <v>1</v>
      </c>
      <c r="E39" s="3" t="n">
        <v>1.24</v>
      </c>
      <c r="F39" s="3" t="n">
        <v>0.1</v>
      </c>
      <c r="H39" s="1" t="n">
        <v>2207</v>
      </c>
      <c r="J39" s="1" t="n">
        <v>9</v>
      </c>
      <c r="K39" s="3" t="n">
        <v>19.96</v>
      </c>
      <c r="L39" s="3" t="n">
        <v>0.9</v>
      </c>
    </row>
    <row r="40">
      <c r="A40" s="1" t="n">
        <v>2211</v>
      </c>
      <c r="D40" s="1" t="n">
        <v>76</v>
      </c>
      <c r="E40" s="3" t="n">
        <v>191.28</v>
      </c>
      <c r="F40" s="3" t="n">
        <v>7.6</v>
      </c>
      <c r="H40" s="1" t="n">
        <v>2213</v>
      </c>
      <c r="J40" s="1" t="n">
        <v>20</v>
      </c>
      <c r="K40" s="3" t="n">
        <v>34.89</v>
      </c>
      <c r="L40" s="3" t="n">
        <v>2</v>
      </c>
    </row>
    <row r="41">
      <c r="A41" s="1" t="n">
        <v>2232</v>
      </c>
      <c r="D41" s="1" t="n">
        <v>5</v>
      </c>
      <c r="E41" s="3" t="n">
        <v>9.75</v>
      </c>
      <c r="F41" s="3" t="n">
        <v>0.5</v>
      </c>
      <c r="H41" s="1" t="n">
        <v>2243</v>
      </c>
      <c r="J41" s="1" t="n">
        <v>64</v>
      </c>
      <c r="K41" s="3" t="n">
        <v>122.86</v>
      </c>
      <c r="L41" s="3" t="n">
        <v>6.4</v>
      </c>
    </row>
    <row r="42">
      <c r="A42" s="1" t="n">
        <v>2255</v>
      </c>
      <c r="D42" s="1" t="n">
        <v>2</v>
      </c>
      <c r="E42" s="3" t="n">
        <v>3.29</v>
      </c>
      <c r="F42" s="3" t="n">
        <v>0.2</v>
      </c>
      <c r="H42" s="1" t="n">
        <v>2256</v>
      </c>
      <c r="J42" s="1" t="n">
        <v>242</v>
      </c>
      <c r="K42" s="3" t="n">
        <v>511.0499999999999</v>
      </c>
      <c r="L42" s="3" t="n">
        <v>24.2</v>
      </c>
    </row>
    <row r="43">
      <c r="A43" s="1" t="n">
        <v>2261</v>
      </c>
      <c r="D43" s="1" t="n">
        <v>5</v>
      </c>
      <c r="E43" s="3" t="n">
        <v>7.290000000000001</v>
      </c>
      <c r="F43" s="3" t="n">
        <v>0.5</v>
      </c>
      <c r="H43" s="1" t="n">
        <v>2262</v>
      </c>
      <c r="J43" s="1" t="n">
        <v>16</v>
      </c>
      <c r="K43" s="3" t="n">
        <v>25.31</v>
      </c>
      <c r="L43" s="3" t="n">
        <v>1.6</v>
      </c>
    </row>
    <row r="44">
      <c r="A44" s="1" t="n">
        <v>2266</v>
      </c>
      <c r="D44" s="1" t="n">
        <v>8</v>
      </c>
      <c r="E44" s="3" t="n">
        <v>12.93</v>
      </c>
      <c r="F44" s="3" t="n">
        <v>0.8</v>
      </c>
      <c r="H44" s="1" t="n">
        <v>2267</v>
      </c>
      <c r="J44" s="1" t="n">
        <v>1</v>
      </c>
      <c r="K44" s="3" t="n">
        <v>1.9</v>
      </c>
      <c r="L44" s="3" t="n">
        <v>0.1</v>
      </c>
    </row>
    <row r="45">
      <c r="B45">
        <f>SUM(E37:E44)</f>
        <v/>
      </c>
      <c r="C45">
        <f>SUM(F37:F44)</f>
        <v/>
      </c>
    </row>
    <row r="46">
      <c r="A46">
        <f>SUM(D37:D45)</f>
        <v/>
      </c>
      <c r="B46">
        <f>SUM(K37:K45)</f>
        <v/>
      </c>
      <c r="C46">
        <f>SUM(L37:L45)</f>
        <v/>
      </c>
    </row>
    <row r="47">
      <c r="A47">
        <f>SUM(J37:J45)</f>
        <v/>
      </c>
    </row>
    <row r="48">
      <c r="E48" s="1" t="inlineStr">
        <is>
          <t>Total Pieces</t>
        </is>
      </c>
      <c r="G48" s="1" t="inlineStr">
        <is>
          <t>Total</t>
        </is>
      </c>
      <c r="H48" s="1" t="inlineStr">
        <is>
          <t>Costs</t>
        </is>
      </c>
      <c r="I48" s="1" t="inlineStr">
        <is>
          <t>Total</t>
        </is>
      </c>
      <c r="J48" s="1" t="inlineStr">
        <is>
          <t>Savings</t>
        </is>
      </c>
    </row>
    <row r="49">
      <c r="E49" s="1">
        <f>SUM(A46+A47)</f>
        <v/>
      </c>
      <c r="G49" s="1">
        <f>SUM(B45+B46)</f>
        <v/>
      </c>
      <c r="J49" s="1">
        <f>SUM(C45+C46)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2026-04-06T04:54:27Z</dcterms:created>
  <dcterms:modified xsi:type="dcterms:W3CDTF">2026-04-06T04:54:27Z</dcterms:modified>
</cp:coreProperties>
</file>