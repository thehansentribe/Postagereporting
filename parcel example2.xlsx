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trustlineage-my.sharepoint.com/personal/jhansen_trustlineage_com/Documents/Zero Agent/"/>
    </mc:Choice>
  </mc:AlternateContent>
  <xr:revisionPtr revIDLastSave="0" documentId="8_{EA010544-6BA6-4147-A971-C0DA7B6A0DEB}" xr6:coauthVersionLast="47" xr6:coauthVersionMax="47" xr10:uidLastSave="{00000000-0000-0000-0000-000000000000}"/>
  <bookViews>
    <workbookView xWindow="-120" yWindow="-120" windowWidth="38640" windowHeight="21120" xr2:uid="{5D288C9B-DE98-471D-B2B7-1B042AE7C9BC}"/>
  </bookViews>
  <sheets>
    <sheet name="Jan 23 2026" sheetId="1" r:id="rId1"/>
  </sheets>
  <definedNames>
    <definedName name="_xlnm.Print_Area" localSheetId="0">'Jan 23 2026'!$A$1:$T$84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" i="1" l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S30" i="1"/>
  <c r="AE29" i="1"/>
  <c r="AD29" i="1"/>
  <c r="X29" i="1"/>
  <c r="W29" i="1"/>
  <c r="AE28" i="1"/>
  <c r="AD28" i="1"/>
  <c r="X28" i="1"/>
  <c r="W28" i="1"/>
  <c r="AE27" i="1"/>
  <c r="AD27" i="1"/>
  <c r="X27" i="1"/>
  <c r="W27" i="1"/>
  <c r="AE26" i="1"/>
  <c r="AD26" i="1"/>
  <c r="X26" i="1"/>
  <c r="W26" i="1"/>
  <c r="AE25" i="1"/>
  <c r="AD25" i="1"/>
  <c r="X25" i="1"/>
  <c r="W25" i="1"/>
  <c r="AE24" i="1"/>
  <c r="AD24" i="1"/>
  <c r="X24" i="1"/>
  <c r="W24" i="1"/>
  <c r="AE23" i="1"/>
  <c r="AD23" i="1"/>
  <c r="X23" i="1"/>
  <c r="W23" i="1"/>
  <c r="AE22" i="1"/>
  <c r="AD22" i="1"/>
  <c r="X22" i="1"/>
  <c r="W22" i="1"/>
  <c r="AE21" i="1"/>
  <c r="AD21" i="1"/>
  <c r="X21" i="1"/>
  <c r="W21" i="1"/>
  <c r="AE20" i="1"/>
  <c r="AD20" i="1"/>
  <c r="X20" i="1"/>
  <c r="W20" i="1"/>
  <c r="AE19" i="1"/>
  <c r="X19" i="1"/>
  <c r="W19" i="1"/>
  <c r="AE18" i="1"/>
  <c r="X18" i="1"/>
  <c r="W18" i="1"/>
  <c r="AE17" i="1"/>
  <c r="X17" i="1"/>
  <c r="W17" i="1"/>
  <c r="AE16" i="1"/>
  <c r="X16" i="1"/>
  <c r="W16" i="1"/>
  <c r="AE15" i="1"/>
  <c r="X15" i="1"/>
  <c r="W15" i="1"/>
  <c r="AE14" i="1"/>
  <c r="X14" i="1"/>
  <c r="W14" i="1"/>
  <c r="AE13" i="1"/>
  <c r="X13" i="1"/>
  <c r="W13" i="1"/>
  <c r="J13" i="1"/>
  <c r="L13" i="1" s="1"/>
  <c r="AE12" i="1"/>
  <c r="X12" i="1"/>
  <c r="W12" i="1"/>
  <c r="AE11" i="1"/>
  <c r="AE38" i="1" s="1"/>
  <c r="X11" i="1"/>
  <c r="W11" i="1"/>
  <c r="AE10" i="1"/>
  <c r="X10" i="1"/>
  <c r="W10" i="1"/>
  <c r="AE9" i="1"/>
  <c r="AD9" i="1"/>
  <c r="X9" i="1"/>
  <c r="W9" i="1"/>
  <c r="AE8" i="1"/>
  <c r="AD8" i="1"/>
  <c r="X8" i="1"/>
  <c r="W8" i="1"/>
  <c r="AE7" i="1"/>
  <c r="AD7" i="1"/>
  <c r="AD38" i="1" s="1"/>
  <c r="X7" i="1"/>
  <c r="W7" i="1"/>
  <c r="AE6" i="1"/>
  <c r="AD6" i="1"/>
  <c r="X6" i="1"/>
  <c r="W6" i="1"/>
  <c r="AE5" i="1"/>
  <c r="AD5" i="1"/>
  <c r="X5" i="1"/>
  <c r="W5" i="1"/>
  <c r="AE4" i="1"/>
  <c r="AD4" i="1"/>
  <c r="X4" i="1"/>
  <c r="W4" i="1"/>
  <c r="AE3" i="1"/>
  <c r="AD3" i="1"/>
  <c r="X3" i="1"/>
  <c r="X30" i="1" s="1"/>
  <c r="W3" i="1"/>
  <c r="W30" i="1" s="1"/>
</calcChain>
</file>

<file path=xl/sharedStrings.xml><?xml version="1.0" encoding="utf-8"?>
<sst xmlns="http://schemas.openxmlformats.org/spreadsheetml/2006/main" count="148" uniqueCount="82">
  <si>
    <t xml:space="preserve">INVOICE # </t>
  </si>
  <si>
    <t>Cubic Priority</t>
  </si>
  <si>
    <t xml:space="preserve">Over 10 lbs listed seperately </t>
  </si>
  <si>
    <t xml:space="preserve">Count </t>
  </si>
  <si>
    <t xml:space="preserve">lbs. </t>
  </si>
  <si>
    <t xml:space="preserve">Zone </t>
  </si>
  <si>
    <t xml:space="preserve">Base </t>
  </si>
  <si>
    <t xml:space="preserve">EFD </t>
  </si>
  <si>
    <t>Savings</t>
  </si>
  <si>
    <t xml:space="preserve">Bill to: </t>
  </si>
  <si>
    <t>Blue Cross Blue Shield of Kansas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</si>
  <si>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</si>
  <si>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</si>
  <si>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</si>
  <si>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</si>
  <si>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</si>
  <si>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</si>
  <si>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 xml:space="preserve"> </t>
  </si>
  <si>
    <t>Phone #</t>
  </si>
  <si>
    <t>785-291-8681</t>
  </si>
  <si>
    <t xml:space="preserve">                                                  </t>
  </si>
  <si>
    <t>Fax#</t>
  </si>
  <si>
    <t>785-291-8548</t>
  </si>
  <si>
    <t>email:</t>
  </si>
  <si>
    <t>chris.torrez@bcbsks.com</t>
  </si>
  <si>
    <t>Over 10lbs.</t>
  </si>
  <si>
    <t>Cubic Priority for Blue Cross  Blue Shield</t>
  </si>
  <si>
    <t>Details -----&gt;</t>
  </si>
  <si>
    <t xml:space="preserve"> Balance</t>
  </si>
  <si>
    <t>Funds Deposited</t>
  </si>
  <si>
    <t xml:space="preserve">Funds Used </t>
  </si>
  <si>
    <t>New Balance</t>
  </si>
  <si>
    <t>continued</t>
  </si>
  <si>
    <t xml:space="preserve">2820 Roe Ln. </t>
  </si>
  <si>
    <t xml:space="preserve">                                       Blue Cross Blue Shield of Kansas </t>
  </si>
  <si>
    <t>Kansas City, KS 66103</t>
  </si>
  <si>
    <t>Weight</t>
  </si>
  <si>
    <t>Priority cost</t>
  </si>
  <si>
    <t>EFD price</t>
  </si>
  <si>
    <t>EFD Price</t>
  </si>
  <si>
    <t xml:space="preserve">Costs </t>
  </si>
  <si>
    <t>Zone 1</t>
  </si>
  <si>
    <t>Zone 3</t>
  </si>
  <si>
    <t>phone:</t>
  </si>
  <si>
    <t>913-671-0011</t>
  </si>
  <si>
    <t>1 lb</t>
  </si>
  <si>
    <t>fax :</t>
  </si>
  <si>
    <t>913-403-9919</t>
  </si>
  <si>
    <t>2 lb</t>
  </si>
  <si>
    <t xml:space="preserve">email: </t>
  </si>
  <si>
    <t>efdmailing@aol.com</t>
  </si>
  <si>
    <t>3 lb</t>
  </si>
  <si>
    <t>4 lb</t>
  </si>
  <si>
    <t>5 lb</t>
  </si>
  <si>
    <t>6 lb</t>
  </si>
  <si>
    <t>7 lb</t>
  </si>
  <si>
    <t>8 lb</t>
  </si>
  <si>
    <t>9 lb</t>
  </si>
  <si>
    <t>10 lb</t>
  </si>
  <si>
    <t xml:space="preserve">Final </t>
  </si>
  <si>
    <t xml:space="preserve"># Pieces </t>
  </si>
  <si>
    <t xml:space="preserve">Charges </t>
  </si>
  <si>
    <t xml:space="preserve">Savings </t>
  </si>
  <si>
    <t>Zone 2</t>
  </si>
  <si>
    <t>Zone 4</t>
  </si>
  <si>
    <t>A2810</t>
  </si>
  <si>
    <t>B2810</t>
  </si>
  <si>
    <t>Zone 5</t>
  </si>
  <si>
    <t>Zone 6</t>
  </si>
  <si>
    <t>C2430</t>
  </si>
  <si>
    <t xml:space="preserve">totals </t>
  </si>
  <si>
    <t>G4420</t>
  </si>
  <si>
    <t>Zone 7</t>
  </si>
  <si>
    <t>Zone 8</t>
  </si>
  <si>
    <t>A4660</t>
  </si>
  <si>
    <t>B4660</t>
  </si>
  <si>
    <t>D4660</t>
  </si>
  <si>
    <t>Total Pieces</t>
  </si>
  <si>
    <t>Total Savings</t>
  </si>
  <si>
    <t>Total Cost:</t>
  </si>
  <si>
    <t>C8230</t>
  </si>
  <si>
    <t>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</si>
</sst>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[$-409]d\-mmm\-yyyy;@"/>
  </numFmts>
  <fonts count="35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u/>
      <sz val="48"/>
      <name val="Haettenschweiler"/>
      <family val="2"/>
    </font>
    <font>
      <b/>
      <sz val="18"/>
      <color indexed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b/>
      <u/>
      <sz val="20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b/>
      <i/>
      <sz val="18"/>
      <name val="Arial"/>
      <family val="2"/>
    </font>
    <font>
      <b/>
      <i/>
      <sz val="16"/>
      <name val="Arial"/>
      <family val="2"/>
    </font>
    <font>
      <b/>
      <i/>
      <sz val="10"/>
      <name val="Arial"/>
      <family val="2"/>
    </font>
    <font>
      <b/>
      <sz val="16"/>
      <color indexed="12"/>
      <name val="Arial"/>
      <family val="2"/>
    </font>
    <font>
      <b/>
      <sz val="16"/>
      <color indexed="8"/>
      <name val="Arial"/>
      <family val="2"/>
    </font>
    <font>
      <b/>
      <sz val="16"/>
      <color indexed="17"/>
      <name val="Arial"/>
      <family val="2"/>
    </font>
    <font>
      <b/>
      <i/>
      <sz val="14"/>
      <name val="Arial"/>
      <family val="2"/>
    </font>
    <font>
      <sz val="10"/>
      <color indexed="17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16"/>
      <color indexed="9"/>
      <name val="Arial"/>
      <family val="2"/>
    </font>
    <font>
      <b/>
      <sz val="14"/>
      <color indexed="8"/>
      <name val="Arial"/>
      <family val="2"/>
    </font>
    <font>
      <sz val="12"/>
      <name val="Arial"/>
      <family val="2"/>
    </font>
    <font>
      <b/>
      <sz val="18"/>
      <color theme="0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48"/>
      <name val="Arial"/>
      <family val="2"/>
    </font>
    <font>
      <b/>
      <u/>
      <sz val="4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/>
    <xf numFmtId="8" fontId="5" fillId="2" borderId="0" xfId="0" applyNumberFormat="1" applyFont="1" applyFill="1"/>
    <xf numFmtId="0" fontId="6" fillId="0" borderId="1" xfId="0" applyFont="1" applyBorder="1"/>
    <xf numFmtId="0" fontId="7" fillId="0" borderId="2" xfId="0" applyFont="1" applyBorder="1"/>
    <xf numFmtId="8" fontId="5" fillId="2" borderId="1" xfId="0" applyNumberFormat="1" applyFont="1" applyFill="1" applyBorder="1"/>
    <xf numFmtId="0" fontId="8" fillId="0" borderId="0" xfId="0" applyFont="1"/>
    <xf numFmtId="0" fontId="9" fillId="3" borderId="3" xfId="0" applyFont="1" applyFill="1" applyBorder="1"/>
    <xf numFmtId="0" fontId="9" fillId="3" borderId="4" xfId="0" applyFont="1" applyFill="1" applyBorder="1"/>
    <xf numFmtId="0" fontId="1" fillId="3" borderId="2" xfId="0" applyFont="1" applyFill="1" applyBorder="1"/>
    <xf numFmtId="0" fontId="9" fillId="0" borderId="0" xfId="0" applyFont="1"/>
    <xf numFmtId="49" fontId="9" fillId="0" borderId="0" xfId="0" applyNumberFormat="1" applyFont="1"/>
    <xf numFmtId="14" fontId="7" fillId="0" borderId="0" xfId="0" applyNumberFormat="1" applyFont="1"/>
    <xf numFmtId="0" fontId="7" fillId="0" borderId="5" xfId="0" applyFont="1" applyBorder="1"/>
    <xf numFmtId="0" fontId="5" fillId="2" borderId="1" xfId="0" applyFont="1" applyFill="1" applyBorder="1" applyAlignment="1">
      <alignment horizontal="center"/>
    </xf>
    <xf numFmtId="8" fontId="7" fillId="0" borderId="5" xfId="0" applyNumberFormat="1" applyFont="1" applyBorder="1"/>
    <xf numFmtId="0" fontId="9" fillId="3" borderId="6" xfId="0" applyFont="1" applyFill="1" applyBorder="1"/>
    <xf numFmtId="0" fontId="9" fillId="3" borderId="0" xfId="0" applyFont="1" applyFill="1"/>
    <xf numFmtId="0" fontId="9" fillId="3" borderId="7" xfId="0" applyFont="1" applyFill="1" applyBorder="1"/>
    <xf numFmtId="0" fontId="1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1" fillId="3" borderId="10" xfId="0" applyFont="1" applyFill="1" applyBorder="1"/>
    <xf numFmtId="0" fontId="7" fillId="0" borderId="6" xfId="0" applyFont="1" applyBorder="1"/>
    <xf numFmtId="0" fontId="7" fillId="0" borderId="5" xfId="0" applyFont="1" applyBorder="1" applyAlignment="1">
      <alignment horizontal="center"/>
    </xf>
    <xf numFmtId="164" fontId="7" fillId="0" borderId="0" xfId="0" applyNumberFormat="1" applyFont="1"/>
    <xf numFmtId="0" fontId="6" fillId="0" borderId="0" xfId="0" applyFont="1"/>
    <xf numFmtId="0" fontId="7" fillId="0" borderId="0" xfId="0" applyFont="1"/>
    <xf numFmtId="8" fontId="1" fillId="0" borderId="0" xfId="0" applyNumberFormat="1" applyFont="1"/>
    <xf numFmtId="0" fontId="5" fillId="2" borderId="0" xfId="0" applyFont="1" applyFill="1" applyAlignment="1">
      <alignment horizontal="center"/>
    </xf>
    <xf numFmtId="0" fontId="10" fillId="0" borderId="0" xfId="1" applyAlignment="1" applyProtection="1"/>
    <xf numFmtId="0" fontId="1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1" fillId="0" borderId="13" xfId="0" applyFont="1" applyBorder="1"/>
    <xf numFmtId="0" fontId="3" fillId="0" borderId="1" xfId="0" applyFont="1" applyBorder="1"/>
    <xf numFmtId="164" fontId="14" fillId="0" borderId="11" xfId="0" applyNumberFormat="1" applyFont="1" applyBorder="1"/>
    <xf numFmtId="164" fontId="3" fillId="0" borderId="3" xfId="0" applyNumberFormat="1" applyFont="1" applyBorder="1"/>
    <xf numFmtId="0" fontId="1" fillId="0" borderId="4" xfId="0" applyFont="1" applyBorder="1"/>
    <xf numFmtId="0" fontId="1" fillId="0" borderId="14" xfId="0" applyFont="1" applyBorder="1"/>
    <xf numFmtId="3" fontId="15" fillId="0" borderId="0" xfId="0" applyNumberFormat="1" applyFont="1"/>
    <xf numFmtId="164" fontId="14" fillId="0" borderId="5" xfId="0" applyNumberFormat="1" applyFont="1" applyBorder="1"/>
    <xf numFmtId="164" fontId="14" fillId="0" borderId="1" xfId="0" applyNumberFormat="1" applyFont="1" applyBorder="1"/>
    <xf numFmtId="0" fontId="6" fillId="2" borderId="0" xfId="0" applyFont="1" applyFill="1"/>
    <xf numFmtId="14" fontId="16" fillId="2" borderId="0" xfId="0" applyNumberFormat="1" applyFont="1" applyFill="1"/>
    <xf numFmtId="0" fontId="17" fillId="2" borderId="0" xfId="0" applyFont="1" applyFill="1"/>
    <xf numFmtId="165" fontId="7" fillId="2" borderId="12" xfId="0" applyNumberFormat="1" applyFont="1" applyFill="1" applyBorder="1"/>
    <xf numFmtId="14" fontId="7" fillId="4" borderId="12" xfId="0" applyNumberFormat="1" applyFont="1" applyFill="1" applyBorder="1"/>
    <xf numFmtId="14" fontId="7" fillId="4" borderId="15" xfId="0" applyNumberFormat="1" applyFont="1" applyFill="1" applyBorder="1"/>
    <xf numFmtId="0" fontId="8" fillId="4" borderId="15" xfId="0" applyFont="1" applyFill="1" applyBorder="1"/>
    <xf numFmtId="0" fontId="16" fillId="4" borderId="15" xfId="0" applyFont="1" applyFill="1" applyBorder="1"/>
    <xf numFmtId="0" fontId="15" fillId="4" borderId="13" xfId="0" applyFont="1" applyFill="1" applyBorder="1"/>
    <xf numFmtId="0" fontId="8" fillId="2" borderId="0" xfId="0" applyFont="1" applyFill="1"/>
    <xf numFmtId="0" fontId="16" fillId="2" borderId="0" xfId="0" applyFont="1" applyFill="1"/>
    <xf numFmtId="0" fontId="18" fillId="2" borderId="0" xfId="0" applyFont="1" applyFill="1"/>
    <xf numFmtId="0" fontId="3" fillId="0" borderId="6" xfId="0" applyFont="1" applyBorder="1"/>
    <xf numFmtId="0" fontId="19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9" fillId="2" borderId="16" xfId="0" applyFont="1" applyFill="1" applyBorder="1"/>
    <xf numFmtId="8" fontId="3" fillId="2" borderId="16" xfId="0" applyNumberFormat="1" applyFont="1" applyFill="1" applyBorder="1"/>
    <xf numFmtId="8" fontId="20" fillId="2" borderId="16" xfId="0" applyNumberFormat="1" applyFont="1" applyFill="1" applyBorder="1"/>
    <xf numFmtId="0" fontId="19" fillId="2" borderId="5" xfId="0" applyFont="1" applyFill="1" applyBorder="1"/>
    <xf numFmtId="8" fontId="15" fillId="5" borderId="16" xfId="0" applyNumberFormat="1" applyFont="1" applyFill="1" applyBorder="1"/>
    <xf numFmtId="8" fontId="21" fillId="6" borderId="16" xfId="0" applyNumberFormat="1" applyFont="1" applyFill="1" applyBorder="1"/>
    <xf numFmtId="49" fontId="7" fillId="2" borderId="0" xfId="0" applyNumberFormat="1" applyFont="1" applyFill="1"/>
    <xf numFmtId="14" fontId="7" fillId="2" borderId="0" xfId="0" applyNumberFormat="1" applyFont="1" applyFill="1"/>
    <xf numFmtId="0" fontId="15" fillId="2" borderId="0" xfId="0" applyFont="1" applyFill="1"/>
    <xf numFmtId="14" fontId="6" fillId="2" borderId="0" xfId="0" applyNumberFormat="1" applyFont="1" applyFill="1"/>
    <xf numFmtId="0" fontId="22" fillId="2" borderId="0" xfId="0" applyFont="1" applyFill="1"/>
    <xf numFmtId="164" fontId="3" fillId="7" borderId="1" xfId="0" applyNumberFormat="1" applyFont="1" applyFill="1" applyBorder="1"/>
    <xf numFmtId="8" fontId="3" fillId="8" borderId="11" xfId="0" applyNumberFormat="1" applyFont="1" applyFill="1" applyBorder="1"/>
    <xf numFmtId="8" fontId="3" fillId="8" borderId="13" xfId="0" applyNumberFormat="1" applyFont="1" applyFill="1" applyBorder="1"/>
    <xf numFmtId="3" fontId="3" fillId="2" borderId="0" xfId="0" applyNumberFormat="1" applyFont="1" applyFill="1"/>
    <xf numFmtId="164" fontId="3" fillId="5" borderId="0" xfId="0" applyNumberFormat="1" applyFont="1" applyFill="1"/>
    <xf numFmtId="164" fontId="3" fillId="3" borderId="0" xfId="0" applyNumberFormat="1" applyFont="1" applyFill="1"/>
    <xf numFmtId="0" fontId="3" fillId="2" borderId="0" xfId="0" applyFont="1" applyFill="1"/>
    <xf numFmtId="0" fontId="19" fillId="2" borderId="0" xfId="0" applyFont="1" applyFill="1"/>
    <xf numFmtId="14" fontId="3" fillId="2" borderId="0" xfId="0" applyNumberFormat="1" applyFont="1" applyFill="1"/>
    <xf numFmtId="0" fontId="3" fillId="2" borderId="0" xfId="0" applyFont="1" applyFill="1" applyAlignment="1">
      <alignment horizontal="center"/>
    </xf>
    <xf numFmtId="8" fontId="6" fillId="2" borderId="0" xfId="0" applyNumberFormat="1" applyFont="1" applyFill="1"/>
    <xf numFmtId="164" fontId="3" fillId="7" borderId="5" xfId="0" applyNumberFormat="1" applyFont="1" applyFill="1" applyBorder="1"/>
    <xf numFmtId="0" fontId="8" fillId="2" borderId="0" xfId="0" applyFont="1" applyFill="1" applyAlignment="1">
      <alignment horizontal="center"/>
    </xf>
    <xf numFmtId="8" fontId="8" fillId="2" borderId="0" xfId="0" applyNumberFormat="1" applyFont="1" applyFill="1"/>
    <xf numFmtId="8" fontId="3" fillId="2" borderId="0" xfId="0" applyNumberFormat="1" applyFont="1" applyFill="1"/>
    <xf numFmtId="8" fontId="20" fillId="2" borderId="0" xfId="0" applyNumberFormat="1" applyFont="1" applyFill="1"/>
    <xf numFmtId="8" fontId="15" fillId="2" borderId="0" xfId="0" applyNumberFormat="1" applyFont="1" applyFill="1"/>
    <xf numFmtId="8" fontId="21" fillId="2" borderId="0" xfId="0" applyNumberFormat="1" applyFont="1" applyFill="1"/>
    <xf numFmtId="164" fontId="3" fillId="2" borderId="0" xfId="0" applyNumberFormat="1" applyFont="1" applyFill="1"/>
    <xf numFmtId="8" fontId="1" fillId="2" borderId="0" xfId="0" applyNumberFormat="1" applyFont="1" applyFill="1"/>
    <xf numFmtId="0" fontId="2" fillId="2" borderId="0" xfId="0" applyFont="1" applyFill="1"/>
    <xf numFmtId="8" fontId="2" fillId="2" borderId="0" xfId="0" applyNumberFormat="1" applyFont="1" applyFill="1"/>
    <xf numFmtId="0" fontId="7" fillId="0" borderId="17" xfId="0" applyFont="1" applyBorder="1"/>
    <xf numFmtId="0" fontId="7" fillId="0" borderId="18" xfId="0" applyFont="1" applyBorder="1"/>
    <xf numFmtId="0" fontId="7" fillId="0" borderId="18" xfId="0" applyFont="1" applyBorder="1" applyAlignment="1">
      <alignment horizontal="center"/>
    </xf>
    <xf numFmtId="164" fontId="7" fillId="0" borderId="19" xfId="0" applyNumberFormat="1" applyFont="1" applyBorder="1"/>
    <xf numFmtId="164" fontId="3" fillId="7" borderId="6" xfId="0" applyNumberFormat="1" applyFont="1" applyFill="1" applyBorder="1"/>
    <xf numFmtId="8" fontId="23" fillId="2" borderId="0" xfId="0" applyNumberFormat="1" applyFont="1" applyFill="1"/>
    <xf numFmtId="164" fontId="3" fillId="7" borderId="8" xfId="0" applyNumberFormat="1" applyFont="1" applyFill="1" applyBorder="1"/>
    <xf numFmtId="164" fontId="3" fillId="7" borderId="16" xfId="0" applyNumberFormat="1" applyFont="1" applyFill="1" applyBorder="1"/>
    <xf numFmtId="0" fontId="3" fillId="0" borderId="4" xfId="0" applyFont="1" applyBorder="1"/>
    <xf numFmtId="0" fontId="19" fillId="2" borderId="6" xfId="0" applyFont="1" applyFill="1" applyBorder="1"/>
    <xf numFmtId="0" fontId="3" fillId="2" borderId="5" xfId="0" applyFont="1" applyFill="1" applyBorder="1"/>
    <xf numFmtId="164" fontId="3" fillId="9" borderId="0" xfId="0" applyNumberFormat="1" applyFont="1" applyFill="1"/>
    <xf numFmtId="0" fontId="8" fillId="0" borderId="1" xfId="0" applyFont="1" applyBorder="1" applyAlignment="1">
      <alignment horizontal="center"/>
    </xf>
    <xf numFmtId="38" fontId="24" fillId="2" borderId="2" xfId="0" applyNumberFormat="1" applyFont="1" applyFill="1" applyBorder="1" applyAlignment="1">
      <alignment horizontal="right"/>
    </xf>
    <xf numFmtId="4" fontId="24" fillId="2" borderId="2" xfId="0" applyNumberFormat="1" applyFont="1" applyFill="1" applyBorder="1" applyAlignment="1">
      <alignment horizontal="right"/>
    </xf>
    <xf numFmtId="8" fontId="8" fillId="0" borderId="1" xfId="0" applyNumberFormat="1" applyFont="1" applyBorder="1"/>
    <xf numFmtId="0" fontId="8" fillId="0" borderId="5" xfId="0" applyFont="1" applyBorder="1" applyAlignment="1">
      <alignment horizontal="center"/>
    </xf>
    <xf numFmtId="8" fontId="24" fillId="2" borderId="0" xfId="0" applyNumberFormat="1" applyFont="1" applyFill="1"/>
    <xf numFmtId="0" fontId="3" fillId="0" borderId="20" xfId="0" applyFont="1" applyBorder="1"/>
    <xf numFmtId="0" fontId="6" fillId="10" borderId="0" xfId="0" applyFont="1" applyFill="1"/>
    <xf numFmtId="0" fontId="1" fillId="0" borderId="8" xfId="0" applyFont="1" applyBorder="1"/>
    <xf numFmtId="0" fontId="1" fillId="0" borderId="9" xfId="0" applyFont="1" applyBorder="1"/>
    <xf numFmtId="8" fontId="23" fillId="2" borderId="9" xfId="0" applyNumberFormat="1" applyFont="1" applyFill="1" applyBorder="1"/>
    <xf numFmtId="8" fontId="7" fillId="0" borderId="10" xfId="0" applyNumberFormat="1" applyFont="1" applyBorder="1"/>
    <xf numFmtId="0" fontId="7" fillId="0" borderId="12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164" fontId="7" fillId="0" borderId="9" xfId="0" applyNumberFormat="1" applyFont="1" applyBorder="1"/>
    <xf numFmtId="164" fontId="8" fillId="2" borderId="0" xfId="0" applyNumberFormat="1" applyFont="1" applyFill="1"/>
    <xf numFmtId="0" fontId="3" fillId="0" borderId="2" xfId="0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8" fillId="0" borderId="5" xfId="0" applyFont="1" applyBorder="1"/>
    <xf numFmtId="0" fontId="8" fillId="0" borderId="11" xfId="0" applyFont="1" applyBorder="1"/>
    <xf numFmtId="164" fontId="8" fillId="0" borderId="11" xfId="0" applyNumberFormat="1" applyFont="1" applyBorder="1"/>
    <xf numFmtId="164" fontId="8" fillId="0" borderId="5" xfId="0" applyNumberFormat="1" applyFont="1" applyBorder="1"/>
    <xf numFmtId="0" fontId="1" fillId="0" borderId="12" xfId="0" applyFont="1" applyBorder="1"/>
    <xf numFmtId="0" fontId="1" fillId="0" borderId="16" xfId="0" applyFont="1" applyBorder="1"/>
    <xf numFmtId="8" fontId="7" fillId="0" borderId="9" xfId="0" applyNumberFormat="1" applyFont="1" applyBorder="1"/>
    <xf numFmtId="8" fontId="7" fillId="0" borderId="16" xfId="0" applyNumberFormat="1" applyFont="1" applyBorder="1"/>
    <xf numFmtId="8" fontId="25" fillId="2" borderId="0" xfId="0" applyNumberFormat="1" applyFont="1" applyFill="1"/>
    <xf numFmtId="38" fontId="24" fillId="2" borderId="13" xfId="0" applyNumberFormat="1" applyFont="1" applyFill="1" applyBorder="1" applyAlignment="1">
      <alignment horizontal="right"/>
    </xf>
    <xf numFmtId="4" fontId="24" fillId="2" borderId="13" xfId="0" applyNumberFormat="1" applyFont="1" applyFill="1" applyBorder="1" applyAlignment="1">
      <alignment horizontal="right"/>
    </xf>
    <xf numFmtId="8" fontId="8" fillId="0" borderId="11" xfId="0" applyNumberFormat="1" applyFont="1" applyBorder="1"/>
    <xf numFmtId="0" fontId="8" fillId="0" borderId="16" xfId="0" applyFont="1" applyBorder="1"/>
    <xf numFmtId="164" fontId="8" fillId="0" borderId="16" xfId="0" applyNumberFormat="1" applyFont="1" applyBorder="1"/>
    <xf numFmtId="38" fontId="24" fillId="2" borderId="7" xfId="0" applyNumberFormat="1" applyFont="1" applyFill="1" applyBorder="1" applyAlignment="1">
      <alignment horizontal="right"/>
    </xf>
    <xf numFmtId="4" fontId="24" fillId="2" borderId="7" xfId="0" applyNumberFormat="1" applyFont="1" applyFill="1" applyBorder="1" applyAlignment="1">
      <alignment horizontal="right"/>
    </xf>
    <xf numFmtId="8" fontId="8" fillId="0" borderId="5" xfId="0" applyNumberFormat="1" applyFont="1" applyBorder="1"/>
    <xf numFmtId="0" fontId="8" fillId="0" borderId="0" xfId="0" applyFont="1" applyAlignment="1">
      <alignment horizontal="center"/>
    </xf>
    <xf numFmtId="164" fontId="8" fillId="0" borderId="0" xfId="0" applyNumberFormat="1" applyFont="1"/>
    <xf numFmtId="8" fontId="8" fillId="2" borderId="21" xfId="0" applyNumberFormat="1" applyFont="1" applyFill="1" applyBorder="1"/>
    <xf numFmtId="0" fontId="3" fillId="7" borderId="0" xfId="0" applyFont="1" applyFill="1"/>
    <xf numFmtId="0" fontId="3" fillId="8" borderId="0" xfId="0" applyFont="1" applyFill="1"/>
    <xf numFmtId="0" fontId="26" fillId="0" borderId="0" xfId="0" applyFont="1"/>
    <xf numFmtId="3" fontId="1" fillId="0" borderId="0" xfId="0" applyNumberFormat="1" applyFont="1"/>
    <xf numFmtId="8" fontId="26" fillId="2" borderId="0" xfId="0" applyNumberFormat="1" applyFont="1" applyFill="1"/>
    <xf numFmtId="0" fontId="25" fillId="2" borderId="0" xfId="0" applyFont="1" applyFill="1"/>
    <xf numFmtId="164" fontId="3" fillId="2" borderId="9" xfId="0" applyNumberFormat="1" applyFont="1" applyFill="1" applyBorder="1"/>
    <xf numFmtId="8" fontId="27" fillId="2" borderId="0" xfId="0" applyNumberFormat="1" applyFont="1" applyFill="1"/>
    <xf numFmtId="0" fontId="28" fillId="2" borderId="0" xfId="0" applyFont="1" applyFill="1"/>
    <xf numFmtId="14" fontId="1" fillId="2" borderId="0" xfId="0" applyNumberFormat="1" applyFont="1" applyFill="1"/>
    <xf numFmtId="164" fontId="7" fillId="11" borderId="9" xfId="0" applyNumberFormat="1" applyFont="1" applyFill="1" applyBorder="1"/>
    <xf numFmtId="164" fontId="29" fillId="12" borderId="9" xfId="0" applyNumberFormat="1" applyFont="1" applyFill="1" applyBorder="1"/>
    <xf numFmtId="0" fontId="30" fillId="2" borderId="0" xfId="0" applyFont="1" applyFill="1"/>
    <xf numFmtId="0" fontId="31" fillId="2" borderId="0" xfId="0" applyFont="1" applyFill="1"/>
    <xf numFmtId="0" fontId="8" fillId="0" borderId="16" xfId="0" applyFont="1" applyBorder="1" applyAlignment="1">
      <alignment horizontal="center"/>
    </xf>
    <xf numFmtId="38" fontId="24" fillId="2" borderId="11" xfId="0" applyNumberFormat="1" applyFont="1" applyFill="1" applyBorder="1" applyAlignment="1">
      <alignment horizontal="right"/>
    </xf>
    <xf numFmtId="38" fontId="6" fillId="0" borderId="0" xfId="0" applyNumberFormat="1" applyFont="1"/>
    <xf numFmtId="8" fontId="6" fillId="0" borderId="0" xfId="0" applyNumberFormat="1" applyFont="1"/>
    <xf numFmtId="8" fontId="30" fillId="2" borderId="0" xfId="0" applyNumberFormat="1" applyFont="1" applyFill="1"/>
    <xf numFmtId="0" fontId="7" fillId="11" borderId="11" xfId="0" applyFont="1" applyFill="1" applyBorder="1"/>
    <xf numFmtId="0" fontId="7" fillId="6" borderId="11" xfId="0" applyFont="1" applyFill="1" applyBorder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3" fillId="2" borderId="0" xfId="0" applyFont="1" applyFill="1" applyAlignment="1">
      <alignment horizontal="center"/>
    </xf>
    <xf numFmtId="0" fontId="9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973772</xdr:colOff>
      <xdr:row>2</xdr:row>
      <xdr:rowOff>264637</xdr:rowOff>
    </xdr:from>
    <xdr:to>
      <xdr:col>9</xdr:col>
      <xdr:colOff>1088032</xdr:colOff>
      <xdr:row>8</xdr:row>
      <xdr:rowOff>230569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6AC64973-C6E4-448E-82AB-DCFADA88E98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21947" y="798037"/>
          <a:ext cx="5962610" cy="1566132"/>
        </a:xfrm>
        <a:prstGeom prst="rect">
          <a:avLst/>
        </a:prstGeom>
      </xdr:spPr>
      <xdr:txBody>
        <a:bodyPr wrap="none" fromWordArt="1">
          <a:prstTxWarp prst="textCascadeUp">
            <a:avLst>
              <a:gd name="adj" fmla="val 44444"/>
            </a:avLst>
          </a:prstTxWarp>
          <a:scene3d>
            <a:camera prst="legacyPerspectiveTopLeft">
              <a:rot lat="0" lon="20519999" rev="0"/>
            </a:camera>
            <a:lightRig rig="legacyHarsh3" dir="r"/>
          </a:scene3d>
          <a:sp3d extrusionH="430200" prstMaterial="legacyMatte">
            <a:extrusionClr>
              <a:srgbClr val="006600"/>
            </a:extrusionClr>
          </a:sp3d>
        </a:bodyPr>
        <a:lstStyle/>
        <a:p>
          <a:pPr algn="ctr" rtl="0"/>
          <a:r>
            <a:rPr lang="en-US" sz="4400" kern="10" spc="0">
              <a:ln w="9525">
                <a:round/>
                <a:headEnd/>
                <a:tailEnd/>
              </a:ln>
              <a:solidFill>
                <a:srgbClr val="008080">
                  <a:alpha val="50000"/>
                </a:srgbClr>
              </a:solidFill>
              <a:effectLst/>
              <a:latin typeface="Arial Black"/>
            </a:rPr>
            <a:t>EFD Mailing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.torrez@bcbs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31C1-0F91-46AE-813A-4AAD44AB5D44}">
  <dimension ref="A1:HF213"/>
  <sheetViews>
    <sheetView tabSelected="1" zoomScale="70" zoomScaleNormal="70" workbookViewId="0">
      <selection activeCell="S19" sqref="S19:V19"/>
    </sheetView>
  </sheetViews>
  <sheetFormatPr defaultRowHeight="12.75"/>
  <cols>
    <col min="1" max="1" width="8.85546875" style="3" customWidth="1"/>
    <col min="2" max="2" width="13.85546875" style="3" customWidth="1"/>
    <col min="3" max="3" width="21.140625" style="3" customWidth="1"/>
    <col min="4" max="4" width="22.85546875" style="3" customWidth="1"/>
    <col min="5" max="5" width="19.85546875" style="3" customWidth="1"/>
    <col min="6" max="6" width="17.5703125" style="3" customWidth="1"/>
    <col min="7" max="7" width="15.140625" style="3" customWidth="1"/>
    <col min="8" max="8" width="19.28515625" style="3" customWidth="1"/>
    <col min="9" max="9" width="15.85546875" style="3" customWidth="1"/>
    <col min="10" max="10" width="19.7109375" style="3" customWidth="1"/>
    <col min="11" max="11" width="18.85546875" style="3" customWidth="1"/>
    <col min="12" max="12" width="19.7109375" style="3" customWidth="1"/>
    <col min="13" max="13" width="7.28515625" style="3" customWidth="1"/>
    <col min="14" max="14" width="12.85546875" style="3" customWidth="1"/>
    <col min="15" max="15" width="9.5703125" style="3" customWidth="1"/>
    <col min="16" max="16" width="20" style="3" customWidth="1"/>
    <col min="17" max="17" width="19.5703125" style="3" customWidth="1"/>
    <col min="18" max="18" width="23.5703125" style="3" customWidth="1"/>
    <col min="19" max="19" width="16.28515625" style="3" customWidth="1"/>
    <col min="20" max="20" width="14.28515625" style="3" customWidth="1"/>
    <col min="21" max="21" width="14.140625" style="3" customWidth="1"/>
    <col min="22" max="22" width="17.42578125" style="3" customWidth="1"/>
    <col min="23" max="23" width="19.28515625" style="3" customWidth="1"/>
    <col min="24" max="24" width="17.7109375" style="3" customWidth="1"/>
    <col min="25" max="25" width="21.85546875" style="3" customWidth="1"/>
    <col min="26" max="26" width="11.140625" style="3" customWidth="1"/>
    <col min="27" max="27" width="9.28515625" style="3" customWidth="1"/>
    <col min="28" max="28" width="12.5703125" style="3" customWidth="1"/>
    <col min="29" max="29" width="13.5703125" style="3" customWidth="1"/>
    <col min="30" max="30" width="18" style="3" customWidth="1"/>
    <col min="31" max="31" width="14.85546875" style="3" customWidth="1"/>
    <col min="32" max="32" width="10.85546875" style="3" customWidth="1"/>
    <col min="33" max="34" width="9.28515625" style="3" customWidth="1"/>
    <col min="35" max="35" width="11.42578125" style="3" customWidth="1"/>
    <col min="36" max="38" width="9.140625" style="3"/>
    <col min="39" max="39" width="16" style="3" customWidth="1"/>
    <col min="40" max="41" width="21" style="3" customWidth="1"/>
    <col min="42" max="42" width="22.140625" style="3" customWidth="1"/>
    <col min="43" max="43" width="19" style="3" customWidth="1"/>
    <col min="44" max="45" width="17.28515625" style="3" customWidth="1"/>
    <col min="46" max="46" width="18.85546875" style="3" customWidth="1"/>
    <col min="47" max="47" width="20" style="3" customWidth="1"/>
    <col min="48" max="256" width="9.140625" style="3"/>
    <col min="257" max="257" width="8.85546875" style="3" customWidth="1"/>
    <col min="258" max="258" width="13.85546875" style="3" customWidth="1"/>
    <col min="259" max="259" width="21.140625" style="3" customWidth="1"/>
    <col min="260" max="260" width="22.85546875" style="3" customWidth="1"/>
    <col min="261" max="261" width="19.85546875" style="3" customWidth="1"/>
    <col min="262" max="262" width="17.5703125" style="3" customWidth="1"/>
    <col min="263" max="263" width="15.140625" style="3" customWidth="1"/>
    <col min="264" max="264" width="19.28515625" style="3" customWidth="1"/>
    <col min="265" max="265" width="15.85546875" style="3" customWidth="1"/>
    <col min="266" max="266" width="19.7109375" style="3" customWidth="1"/>
    <col min="267" max="267" width="18.85546875" style="3" customWidth="1"/>
    <col min="268" max="268" width="19.7109375" style="3" customWidth="1"/>
    <col min="269" max="269" width="7.28515625" style="3" customWidth="1"/>
    <col min="270" max="270" width="12.85546875" style="3" customWidth="1"/>
    <col min="271" max="271" width="9.5703125" style="3" customWidth="1"/>
    <col min="272" max="272" width="20" style="3" customWidth="1"/>
    <col min="273" max="273" width="19.5703125" style="3" customWidth="1"/>
    <col min="274" max="274" width="23.5703125" style="3" customWidth="1"/>
    <col min="275" max="275" width="16.28515625" style="3" customWidth="1"/>
    <col min="276" max="276" width="14.28515625" style="3" customWidth="1"/>
    <col min="277" max="277" width="14.140625" style="3" customWidth="1"/>
    <col min="278" max="278" width="17.42578125" style="3" customWidth="1"/>
    <col min="279" max="279" width="19.28515625" style="3" customWidth="1"/>
    <col min="280" max="280" width="17.7109375" style="3" customWidth="1"/>
    <col min="281" max="281" width="21.85546875" style="3" customWidth="1"/>
    <col min="282" max="282" width="11.140625" style="3" customWidth="1"/>
    <col min="283" max="283" width="9.28515625" style="3" customWidth="1"/>
    <col min="284" max="284" width="12.5703125" style="3" customWidth="1"/>
    <col min="285" max="285" width="13.5703125" style="3" customWidth="1"/>
    <col min="286" max="286" width="18" style="3" customWidth="1"/>
    <col min="287" max="287" width="14.85546875" style="3" customWidth="1"/>
    <col min="288" max="288" width="10.85546875" style="3" customWidth="1"/>
    <col min="289" max="290" width="9.28515625" style="3" customWidth="1"/>
    <col min="291" max="291" width="11.42578125" style="3" customWidth="1"/>
    <col min="292" max="294" width="9.140625" style="3"/>
    <col min="295" max="295" width="16" style="3" customWidth="1"/>
    <col min="296" max="297" width="21" style="3" customWidth="1"/>
    <col min="298" max="298" width="22.140625" style="3" customWidth="1"/>
    <col min="299" max="299" width="19" style="3" customWidth="1"/>
    <col min="300" max="301" width="17.28515625" style="3" customWidth="1"/>
    <col min="302" max="302" width="18.85546875" style="3" customWidth="1"/>
    <col min="303" max="303" width="20" style="3" customWidth="1"/>
    <col min="304" max="512" width="9.140625" style="3"/>
    <col min="513" max="513" width="8.85546875" style="3" customWidth="1"/>
    <col min="514" max="514" width="13.85546875" style="3" customWidth="1"/>
    <col min="515" max="515" width="21.140625" style="3" customWidth="1"/>
    <col min="516" max="516" width="22.85546875" style="3" customWidth="1"/>
    <col min="517" max="517" width="19.85546875" style="3" customWidth="1"/>
    <col min="518" max="518" width="17.5703125" style="3" customWidth="1"/>
    <col min="519" max="519" width="15.140625" style="3" customWidth="1"/>
    <col min="520" max="520" width="19.28515625" style="3" customWidth="1"/>
    <col min="521" max="521" width="15.85546875" style="3" customWidth="1"/>
    <col min="522" max="522" width="19.7109375" style="3" customWidth="1"/>
    <col min="523" max="523" width="18.85546875" style="3" customWidth="1"/>
    <col min="524" max="524" width="19.7109375" style="3" customWidth="1"/>
    <col min="525" max="525" width="7.28515625" style="3" customWidth="1"/>
    <col min="526" max="526" width="12.85546875" style="3" customWidth="1"/>
    <col min="527" max="527" width="9.5703125" style="3" customWidth="1"/>
    <col min="528" max="528" width="20" style="3" customWidth="1"/>
    <col min="529" max="529" width="19.5703125" style="3" customWidth="1"/>
    <col min="530" max="530" width="23.5703125" style="3" customWidth="1"/>
    <col min="531" max="531" width="16.28515625" style="3" customWidth="1"/>
    <col min="532" max="532" width="14.28515625" style="3" customWidth="1"/>
    <col min="533" max="533" width="14.140625" style="3" customWidth="1"/>
    <col min="534" max="534" width="17.42578125" style="3" customWidth="1"/>
    <col min="535" max="535" width="19.28515625" style="3" customWidth="1"/>
    <col min="536" max="536" width="17.7109375" style="3" customWidth="1"/>
    <col min="537" max="537" width="21.85546875" style="3" customWidth="1"/>
    <col min="538" max="538" width="11.140625" style="3" customWidth="1"/>
    <col min="539" max="539" width="9.28515625" style="3" customWidth="1"/>
    <col min="540" max="540" width="12.5703125" style="3" customWidth="1"/>
    <col min="541" max="541" width="13.5703125" style="3" customWidth="1"/>
    <col min="542" max="542" width="18" style="3" customWidth="1"/>
    <col min="543" max="543" width="14.85546875" style="3" customWidth="1"/>
    <col min="544" max="544" width="10.85546875" style="3" customWidth="1"/>
    <col min="545" max="546" width="9.28515625" style="3" customWidth="1"/>
    <col min="547" max="547" width="11.42578125" style="3" customWidth="1"/>
    <col min="548" max="550" width="9.140625" style="3"/>
    <col min="551" max="551" width="16" style="3" customWidth="1"/>
    <col min="552" max="553" width="21" style="3" customWidth="1"/>
    <col min="554" max="554" width="22.140625" style="3" customWidth="1"/>
    <col min="555" max="555" width="19" style="3" customWidth="1"/>
    <col min="556" max="557" width="17.28515625" style="3" customWidth="1"/>
    <col min="558" max="558" width="18.85546875" style="3" customWidth="1"/>
    <col min="559" max="559" width="20" style="3" customWidth="1"/>
    <col min="560" max="768" width="9.140625" style="3"/>
    <col min="769" max="769" width="8.85546875" style="3" customWidth="1"/>
    <col min="770" max="770" width="13.85546875" style="3" customWidth="1"/>
    <col min="771" max="771" width="21.140625" style="3" customWidth="1"/>
    <col min="772" max="772" width="22.85546875" style="3" customWidth="1"/>
    <col min="773" max="773" width="19.85546875" style="3" customWidth="1"/>
    <col min="774" max="774" width="17.5703125" style="3" customWidth="1"/>
    <col min="775" max="775" width="15.140625" style="3" customWidth="1"/>
    <col min="776" max="776" width="19.28515625" style="3" customWidth="1"/>
    <col min="777" max="777" width="15.85546875" style="3" customWidth="1"/>
    <col min="778" max="778" width="19.7109375" style="3" customWidth="1"/>
    <col min="779" max="779" width="18.85546875" style="3" customWidth="1"/>
    <col min="780" max="780" width="19.7109375" style="3" customWidth="1"/>
    <col min="781" max="781" width="7.28515625" style="3" customWidth="1"/>
    <col min="782" max="782" width="12.85546875" style="3" customWidth="1"/>
    <col min="783" max="783" width="9.5703125" style="3" customWidth="1"/>
    <col min="784" max="784" width="20" style="3" customWidth="1"/>
    <col min="785" max="785" width="19.5703125" style="3" customWidth="1"/>
    <col min="786" max="786" width="23.5703125" style="3" customWidth="1"/>
    <col min="787" max="787" width="16.28515625" style="3" customWidth="1"/>
    <col min="788" max="788" width="14.28515625" style="3" customWidth="1"/>
    <col min="789" max="789" width="14.140625" style="3" customWidth="1"/>
    <col min="790" max="790" width="17.42578125" style="3" customWidth="1"/>
    <col min="791" max="791" width="19.28515625" style="3" customWidth="1"/>
    <col min="792" max="792" width="17.7109375" style="3" customWidth="1"/>
    <col min="793" max="793" width="21.85546875" style="3" customWidth="1"/>
    <col min="794" max="794" width="11.140625" style="3" customWidth="1"/>
    <col min="795" max="795" width="9.28515625" style="3" customWidth="1"/>
    <col min="796" max="796" width="12.5703125" style="3" customWidth="1"/>
    <col min="797" max="797" width="13.5703125" style="3" customWidth="1"/>
    <col min="798" max="798" width="18" style="3" customWidth="1"/>
    <col min="799" max="799" width="14.85546875" style="3" customWidth="1"/>
    <col min="800" max="800" width="10.85546875" style="3" customWidth="1"/>
    <col min="801" max="802" width="9.28515625" style="3" customWidth="1"/>
    <col min="803" max="803" width="11.42578125" style="3" customWidth="1"/>
    <col min="804" max="806" width="9.140625" style="3"/>
    <col min="807" max="807" width="16" style="3" customWidth="1"/>
    <col min="808" max="809" width="21" style="3" customWidth="1"/>
    <col min="810" max="810" width="22.140625" style="3" customWidth="1"/>
    <col min="811" max="811" width="19" style="3" customWidth="1"/>
    <col min="812" max="813" width="17.28515625" style="3" customWidth="1"/>
    <col min="814" max="814" width="18.85546875" style="3" customWidth="1"/>
    <col min="815" max="815" width="20" style="3" customWidth="1"/>
    <col min="816" max="1024" width="9.140625" style="3"/>
    <col min="1025" max="1025" width="8.85546875" style="3" customWidth="1"/>
    <col min="1026" max="1026" width="13.85546875" style="3" customWidth="1"/>
    <col min="1027" max="1027" width="21.140625" style="3" customWidth="1"/>
    <col min="1028" max="1028" width="22.85546875" style="3" customWidth="1"/>
    <col min="1029" max="1029" width="19.85546875" style="3" customWidth="1"/>
    <col min="1030" max="1030" width="17.5703125" style="3" customWidth="1"/>
    <col min="1031" max="1031" width="15.140625" style="3" customWidth="1"/>
    <col min="1032" max="1032" width="19.28515625" style="3" customWidth="1"/>
    <col min="1033" max="1033" width="15.85546875" style="3" customWidth="1"/>
    <col min="1034" max="1034" width="19.7109375" style="3" customWidth="1"/>
    <col min="1035" max="1035" width="18.85546875" style="3" customWidth="1"/>
    <col min="1036" max="1036" width="19.7109375" style="3" customWidth="1"/>
    <col min="1037" max="1037" width="7.28515625" style="3" customWidth="1"/>
    <col min="1038" max="1038" width="12.85546875" style="3" customWidth="1"/>
    <col min="1039" max="1039" width="9.5703125" style="3" customWidth="1"/>
    <col min="1040" max="1040" width="20" style="3" customWidth="1"/>
    <col min="1041" max="1041" width="19.5703125" style="3" customWidth="1"/>
    <col min="1042" max="1042" width="23.5703125" style="3" customWidth="1"/>
    <col min="1043" max="1043" width="16.28515625" style="3" customWidth="1"/>
    <col min="1044" max="1044" width="14.28515625" style="3" customWidth="1"/>
    <col min="1045" max="1045" width="14.140625" style="3" customWidth="1"/>
    <col min="1046" max="1046" width="17.42578125" style="3" customWidth="1"/>
    <col min="1047" max="1047" width="19.28515625" style="3" customWidth="1"/>
    <col min="1048" max="1048" width="17.7109375" style="3" customWidth="1"/>
    <col min="1049" max="1049" width="21.85546875" style="3" customWidth="1"/>
    <col min="1050" max="1050" width="11.140625" style="3" customWidth="1"/>
    <col min="1051" max="1051" width="9.28515625" style="3" customWidth="1"/>
    <col min="1052" max="1052" width="12.5703125" style="3" customWidth="1"/>
    <col min="1053" max="1053" width="13.5703125" style="3" customWidth="1"/>
    <col min="1054" max="1054" width="18" style="3" customWidth="1"/>
    <col min="1055" max="1055" width="14.85546875" style="3" customWidth="1"/>
    <col min="1056" max="1056" width="10.85546875" style="3" customWidth="1"/>
    <col min="1057" max="1058" width="9.28515625" style="3" customWidth="1"/>
    <col min="1059" max="1059" width="11.42578125" style="3" customWidth="1"/>
    <col min="1060" max="1062" width="9.140625" style="3"/>
    <col min="1063" max="1063" width="16" style="3" customWidth="1"/>
    <col min="1064" max="1065" width="21" style="3" customWidth="1"/>
    <col min="1066" max="1066" width="22.140625" style="3" customWidth="1"/>
    <col min="1067" max="1067" width="19" style="3" customWidth="1"/>
    <col min="1068" max="1069" width="17.28515625" style="3" customWidth="1"/>
    <col min="1070" max="1070" width="18.85546875" style="3" customWidth="1"/>
    <col min="1071" max="1071" width="20" style="3" customWidth="1"/>
    <col min="1072" max="1280" width="9.140625" style="3"/>
    <col min="1281" max="1281" width="8.85546875" style="3" customWidth="1"/>
    <col min="1282" max="1282" width="13.85546875" style="3" customWidth="1"/>
    <col min="1283" max="1283" width="21.140625" style="3" customWidth="1"/>
    <col min="1284" max="1284" width="22.85546875" style="3" customWidth="1"/>
    <col min="1285" max="1285" width="19.85546875" style="3" customWidth="1"/>
    <col min="1286" max="1286" width="17.5703125" style="3" customWidth="1"/>
    <col min="1287" max="1287" width="15.140625" style="3" customWidth="1"/>
    <col min="1288" max="1288" width="19.28515625" style="3" customWidth="1"/>
    <col min="1289" max="1289" width="15.85546875" style="3" customWidth="1"/>
    <col min="1290" max="1290" width="19.7109375" style="3" customWidth="1"/>
    <col min="1291" max="1291" width="18.85546875" style="3" customWidth="1"/>
    <col min="1292" max="1292" width="19.7109375" style="3" customWidth="1"/>
    <col min="1293" max="1293" width="7.28515625" style="3" customWidth="1"/>
    <col min="1294" max="1294" width="12.85546875" style="3" customWidth="1"/>
    <col min="1295" max="1295" width="9.5703125" style="3" customWidth="1"/>
    <col min="1296" max="1296" width="20" style="3" customWidth="1"/>
    <col min="1297" max="1297" width="19.5703125" style="3" customWidth="1"/>
    <col min="1298" max="1298" width="23.5703125" style="3" customWidth="1"/>
    <col min="1299" max="1299" width="16.28515625" style="3" customWidth="1"/>
    <col min="1300" max="1300" width="14.28515625" style="3" customWidth="1"/>
    <col min="1301" max="1301" width="14.140625" style="3" customWidth="1"/>
    <col min="1302" max="1302" width="17.42578125" style="3" customWidth="1"/>
    <col min="1303" max="1303" width="19.28515625" style="3" customWidth="1"/>
    <col min="1304" max="1304" width="17.7109375" style="3" customWidth="1"/>
    <col min="1305" max="1305" width="21.85546875" style="3" customWidth="1"/>
    <col min="1306" max="1306" width="11.140625" style="3" customWidth="1"/>
    <col min="1307" max="1307" width="9.28515625" style="3" customWidth="1"/>
    <col min="1308" max="1308" width="12.5703125" style="3" customWidth="1"/>
    <col min="1309" max="1309" width="13.5703125" style="3" customWidth="1"/>
    <col min="1310" max="1310" width="18" style="3" customWidth="1"/>
    <col min="1311" max="1311" width="14.85546875" style="3" customWidth="1"/>
    <col min="1312" max="1312" width="10.85546875" style="3" customWidth="1"/>
    <col min="1313" max="1314" width="9.28515625" style="3" customWidth="1"/>
    <col min="1315" max="1315" width="11.42578125" style="3" customWidth="1"/>
    <col min="1316" max="1318" width="9.140625" style="3"/>
    <col min="1319" max="1319" width="16" style="3" customWidth="1"/>
    <col min="1320" max="1321" width="21" style="3" customWidth="1"/>
    <col min="1322" max="1322" width="22.140625" style="3" customWidth="1"/>
    <col min="1323" max="1323" width="19" style="3" customWidth="1"/>
    <col min="1324" max="1325" width="17.28515625" style="3" customWidth="1"/>
    <col min="1326" max="1326" width="18.85546875" style="3" customWidth="1"/>
    <col min="1327" max="1327" width="20" style="3" customWidth="1"/>
    <col min="1328" max="1536" width="9.140625" style="3"/>
    <col min="1537" max="1537" width="8.85546875" style="3" customWidth="1"/>
    <col min="1538" max="1538" width="13.85546875" style="3" customWidth="1"/>
    <col min="1539" max="1539" width="21.140625" style="3" customWidth="1"/>
    <col min="1540" max="1540" width="22.85546875" style="3" customWidth="1"/>
    <col min="1541" max="1541" width="19.85546875" style="3" customWidth="1"/>
    <col min="1542" max="1542" width="17.5703125" style="3" customWidth="1"/>
    <col min="1543" max="1543" width="15.140625" style="3" customWidth="1"/>
    <col min="1544" max="1544" width="19.28515625" style="3" customWidth="1"/>
    <col min="1545" max="1545" width="15.85546875" style="3" customWidth="1"/>
    <col min="1546" max="1546" width="19.7109375" style="3" customWidth="1"/>
    <col min="1547" max="1547" width="18.85546875" style="3" customWidth="1"/>
    <col min="1548" max="1548" width="19.7109375" style="3" customWidth="1"/>
    <col min="1549" max="1549" width="7.28515625" style="3" customWidth="1"/>
    <col min="1550" max="1550" width="12.85546875" style="3" customWidth="1"/>
    <col min="1551" max="1551" width="9.5703125" style="3" customWidth="1"/>
    <col min="1552" max="1552" width="20" style="3" customWidth="1"/>
    <col min="1553" max="1553" width="19.5703125" style="3" customWidth="1"/>
    <col min="1554" max="1554" width="23.5703125" style="3" customWidth="1"/>
    <col min="1555" max="1555" width="16.28515625" style="3" customWidth="1"/>
    <col min="1556" max="1556" width="14.28515625" style="3" customWidth="1"/>
    <col min="1557" max="1557" width="14.140625" style="3" customWidth="1"/>
    <col min="1558" max="1558" width="17.42578125" style="3" customWidth="1"/>
    <col min="1559" max="1559" width="19.28515625" style="3" customWidth="1"/>
    <col min="1560" max="1560" width="17.7109375" style="3" customWidth="1"/>
    <col min="1561" max="1561" width="21.85546875" style="3" customWidth="1"/>
    <col min="1562" max="1562" width="11.140625" style="3" customWidth="1"/>
    <col min="1563" max="1563" width="9.28515625" style="3" customWidth="1"/>
    <col min="1564" max="1564" width="12.5703125" style="3" customWidth="1"/>
    <col min="1565" max="1565" width="13.5703125" style="3" customWidth="1"/>
    <col min="1566" max="1566" width="18" style="3" customWidth="1"/>
    <col min="1567" max="1567" width="14.85546875" style="3" customWidth="1"/>
    <col min="1568" max="1568" width="10.85546875" style="3" customWidth="1"/>
    <col min="1569" max="1570" width="9.28515625" style="3" customWidth="1"/>
    <col min="1571" max="1571" width="11.42578125" style="3" customWidth="1"/>
    <col min="1572" max="1574" width="9.140625" style="3"/>
    <col min="1575" max="1575" width="16" style="3" customWidth="1"/>
    <col min="1576" max="1577" width="21" style="3" customWidth="1"/>
    <col min="1578" max="1578" width="22.140625" style="3" customWidth="1"/>
    <col min="1579" max="1579" width="19" style="3" customWidth="1"/>
    <col min="1580" max="1581" width="17.28515625" style="3" customWidth="1"/>
    <col min="1582" max="1582" width="18.85546875" style="3" customWidth="1"/>
    <col min="1583" max="1583" width="20" style="3" customWidth="1"/>
    <col min="1584" max="1792" width="9.140625" style="3"/>
    <col min="1793" max="1793" width="8.85546875" style="3" customWidth="1"/>
    <col min="1794" max="1794" width="13.85546875" style="3" customWidth="1"/>
    <col min="1795" max="1795" width="21.140625" style="3" customWidth="1"/>
    <col min="1796" max="1796" width="22.85546875" style="3" customWidth="1"/>
    <col min="1797" max="1797" width="19.85546875" style="3" customWidth="1"/>
    <col min="1798" max="1798" width="17.5703125" style="3" customWidth="1"/>
    <col min="1799" max="1799" width="15.140625" style="3" customWidth="1"/>
    <col min="1800" max="1800" width="19.28515625" style="3" customWidth="1"/>
    <col min="1801" max="1801" width="15.85546875" style="3" customWidth="1"/>
    <col min="1802" max="1802" width="19.7109375" style="3" customWidth="1"/>
    <col min="1803" max="1803" width="18.85546875" style="3" customWidth="1"/>
    <col min="1804" max="1804" width="19.7109375" style="3" customWidth="1"/>
    <col min="1805" max="1805" width="7.28515625" style="3" customWidth="1"/>
    <col min="1806" max="1806" width="12.85546875" style="3" customWidth="1"/>
    <col min="1807" max="1807" width="9.5703125" style="3" customWidth="1"/>
    <col min="1808" max="1808" width="20" style="3" customWidth="1"/>
    <col min="1809" max="1809" width="19.5703125" style="3" customWidth="1"/>
    <col min="1810" max="1810" width="23.5703125" style="3" customWidth="1"/>
    <col min="1811" max="1811" width="16.28515625" style="3" customWidth="1"/>
    <col min="1812" max="1812" width="14.28515625" style="3" customWidth="1"/>
    <col min="1813" max="1813" width="14.140625" style="3" customWidth="1"/>
    <col min="1814" max="1814" width="17.42578125" style="3" customWidth="1"/>
    <col min="1815" max="1815" width="19.28515625" style="3" customWidth="1"/>
    <col min="1816" max="1816" width="17.7109375" style="3" customWidth="1"/>
    <col min="1817" max="1817" width="21.85546875" style="3" customWidth="1"/>
    <col min="1818" max="1818" width="11.140625" style="3" customWidth="1"/>
    <col min="1819" max="1819" width="9.28515625" style="3" customWidth="1"/>
    <col min="1820" max="1820" width="12.5703125" style="3" customWidth="1"/>
    <col min="1821" max="1821" width="13.5703125" style="3" customWidth="1"/>
    <col min="1822" max="1822" width="18" style="3" customWidth="1"/>
    <col min="1823" max="1823" width="14.85546875" style="3" customWidth="1"/>
    <col min="1824" max="1824" width="10.85546875" style="3" customWidth="1"/>
    <col min="1825" max="1826" width="9.28515625" style="3" customWidth="1"/>
    <col min="1827" max="1827" width="11.42578125" style="3" customWidth="1"/>
    <col min="1828" max="1830" width="9.140625" style="3"/>
    <col min="1831" max="1831" width="16" style="3" customWidth="1"/>
    <col min="1832" max="1833" width="21" style="3" customWidth="1"/>
    <col min="1834" max="1834" width="22.140625" style="3" customWidth="1"/>
    <col min="1835" max="1835" width="19" style="3" customWidth="1"/>
    <col min="1836" max="1837" width="17.28515625" style="3" customWidth="1"/>
    <col min="1838" max="1838" width="18.85546875" style="3" customWidth="1"/>
    <col min="1839" max="1839" width="20" style="3" customWidth="1"/>
    <col min="1840" max="2048" width="9.140625" style="3"/>
    <col min="2049" max="2049" width="8.85546875" style="3" customWidth="1"/>
    <col min="2050" max="2050" width="13.85546875" style="3" customWidth="1"/>
    <col min="2051" max="2051" width="21.140625" style="3" customWidth="1"/>
    <col min="2052" max="2052" width="22.85546875" style="3" customWidth="1"/>
    <col min="2053" max="2053" width="19.85546875" style="3" customWidth="1"/>
    <col min="2054" max="2054" width="17.5703125" style="3" customWidth="1"/>
    <col min="2055" max="2055" width="15.140625" style="3" customWidth="1"/>
    <col min="2056" max="2056" width="19.28515625" style="3" customWidth="1"/>
    <col min="2057" max="2057" width="15.85546875" style="3" customWidth="1"/>
    <col min="2058" max="2058" width="19.7109375" style="3" customWidth="1"/>
    <col min="2059" max="2059" width="18.85546875" style="3" customWidth="1"/>
    <col min="2060" max="2060" width="19.7109375" style="3" customWidth="1"/>
    <col min="2061" max="2061" width="7.28515625" style="3" customWidth="1"/>
    <col min="2062" max="2062" width="12.85546875" style="3" customWidth="1"/>
    <col min="2063" max="2063" width="9.5703125" style="3" customWidth="1"/>
    <col min="2064" max="2064" width="20" style="3" customWidth="1"/>
    <col min="2065" max="2065" width="19.5703125" style="3" customWidth="1"/>
    <col min="2066" max="2066" width="23.5703125" style="3" customWidth="1"/>
    <col min="2067" max="2067" width="16.28515625" style="3" customWidth="1"/>
    <col min="2068" max="2068" width="14.28515625" style="3" customWidth="1"/>
    <col min="2069" max="2069" width="14.140625" style="3" customWidth="1"/>
    <col min="2070" max="2070" width="17.42578125" style="3" customWidth="1"/>
    <col min="2071" max="2071" width="19.28515625" style="3" customWidth="1"/>
    <col min="2072" max="2072" width="17.7109375" style="3" customWidth="1"/>
    <col min="2073" max="2073" width="21.85546875" style="3" customWidth="1"/>
    <col min="2074" max="2074" width="11.140625" style="3" customWidth="1"/>
    <col min="2075" max="2075" width="9.28515625" style="3" customWidth="1"/>
    <col min="2076" max="2076" width="12.5703125" style="3" customWidth="1"/>
    <col min="2077" max="2077" width="13.5703125" style="3" customWidth="1"/>
    <col min="2078" max="2078" width="18" style="3" customWidth="1"/>
    <col min="2079" max="2079" width="14.85546875" style="3" customWidth="1"/>
    <col min="2080" max="2080" width="10.85546875" style="3" customWidth="1"/>
    <col min="2081" max="2082" width="9.28515625" style="3" customWidth="1"/>
    <col min="2083" max="2083" width="11.42578125" style="3" customWidth="1"/>
    <col min="2084" max="2086" width="9.140625" style="3"/>
    <col min="2087" max="2087" width="16" style="3" customWidth="1"/>
    <col min="2088" max="2089" width="21" style="3" customWidth="1"/>
    <col min="2090" max="2090" width="22.140625" style="3" customWidth="1"/>
    <col min="2091" max="2091" width="19" style="3" customWidth="1"/>
    <col min="2092" max="2093" width="17.28515625" style="3" customWidth="1"/>
    <col min="2094" max="2094" width="18.85546875" style="3" customWidth="1"/>
    <col min="2095" max="2095" width="20" style="3" customWidth="1"/>
    <col min="2096" max="2304" width="9.140625" style="3"/>
    <col min="2305" max="2305" width="8.85546875" style="3" customWidth="1"/>
    <col min="2306" max="2306" width="13.85546875" style="3" customWidth="1"/>
    <col min="2307" max="2307" width="21.140625" style="3" customWidth="1"/>
    <col min="2308" max="2308" width="22.85546875" style="3" customWidth="1"/>
    <col min="2309" max="2309" width="19.85546875" style="3" customWidth="1"/>
    <col min="2310" max="2310" width="17.5703125" style="3" customWidth="1"/>
    <col min="2311" max="2311" width="15.140625" style="3" customWidth="1"/>
    <col min="2312" max="2312" width="19.28515625" style="3" customWidth="1"/>
    <col min="2313" max="2313" width="15.85546875" style="3" customWidth="1"/>
    <col min="2314" max="2314" width="19.7109375" style="3" customWidth="1"/>
    <col min="2315" max="2315" width="18.85546875" style="3" customWidth="1"/>
    <col min="2316" max="2316" width="19.7109375" style="3" customWidth="1"/>
    <col min="2317" max="2317" width="7.28515625" style="3" customWidth="1"/>
    <col min="2318" max="2318" width="12.85546875" style="3" customWidth="1"/>
    <col min="2319" max="2319" width="9.5703125" style="3" customWidth="1"/>
    <col min="2320" max="2320" width="20" style="3" customWidth="1"/>
    <col min="2321" max="2321" width="19.5703125" style="3" customWidth="1"/>
    <col min="2322" max="2322" width="23.5703125" style="3" customWidth="1"/>
    <col min="2323" max="2323" width="16.28515625" style="3" customWidth="1"/>
    <col min="2324" max="2324" width="14.28515625" style="3" customWidth="1"/>
    <col min="2325" max="2325" width="14.140625" style="3" customWidth="1"/>
    <col min="2326" max="2326" width="17.42578125" style="3" customWidth="1"/>
    <col min="2327" max="2327" width="19.28515625" style="3" customWidth="1"/>
    <col min="2328" max="2328" width="17.7109375" style="3" customWidth="1"/>
    <col min="2329" max="2329" width="21.85546875" style="3" customWidth="1"/>
    <col min="2330" max="2330" width="11.140625" style="3" customWidth="1"/>
    <col min="2331" max="2331" width="9.28515625" style="3" customWidth="1"/>
    <col min="2332" max="2332" width="12.5703125" style="3" customWidth="1"/>
    <col min="2333" max="2333" width="13.5703125" style="3" customWidth="1"/>
    <col min="2334" max="2334" width="18" style="3" customWidth="1"/>
    <col min="2335" max="2335" width="14.85546875" style="3" customWidth="1"/>
    <col min="2336" max="2336" width="10.85546875" style="3" customWidth="1"/>
    <col min="2337" max="2338" width="9.28515625" style="3" customWidth="1"/>
    <col min="2339" max="2339" width="11.42578125" style="3" customWidth="1"/>
    <col min="2340" max="2342" width="9.140625" style="3"/>
    <col min="2343" max="2343" width="16" style="3" customWidth="1"/>
    <col min="2344" max="2345" width="21" style="3" customWidth="1"/>
    <col min="2346" max="2346" width="22.140625" style="3" customWidth="1"/>
    <col min="2347" max="2347" width="19" style="3" customWidth="1"/>
    <col min="2348" max="2349" width="17.28515625" style="3" customWidth="1"/>
    <col min="2350" max="2350" width="18.85546875" style="3" customWidth="1"/>
    <col min="2351" max="2351" width="20" style="3" customWidth="1"/>
    <col min="2352" max="2560" width="9.140625" style="3"/>
    <col min="2561" max="2561" width="8.85546875" style="3" customWidth="1"/>
    <col min="2562" max="2562" width="13.85546875" style="3" customWidth="1"/>
    <col min="2563" max="2563" width="21.140625" style="3" customWidth="1"/>
    <col min="2564" max="2564" width="22.85546875" style="3" customWidth="1"/>
    <col min="2565" max="2565" width="19.85546875" style="3" customWidth="1"/>
    <col min="2566" max="2566" width="17.5703125" style="3" customWidth="1"/>
    <col min="2567" max="2567" width="15.140625" style="3" customWidth="1"/>
    <col min="2568" max="2568" width="19.28515625" style="3" customWidth="1"/>
    <col min="2569" max="2569" width="15.85546875" style="3" customWidth="1"/>
    <col min="2570" max="2570" width="19.7109375" style="3" customWidth="1"/>
    <col min="2571" max="2571" width="18.85546875" style="3" customWidth="1"/>
    <col min="2572" max="2572" width="19.7109375" style="3" customWidth="1"/>
    <col min="2573" max="2573" width="7.28515625" style="3" customWidth="1"/>
    <col min="2574" max="2574" width="12.85546875" style="3" customWidth="1"/>
    <col min="2575" max="2575" width="9.5703125" style="3" customWidth="1"/>
    <col min="2576" max="2576" width="20" style="3" customWidth="1"/>
    <col min="2577" max="2577" width="19.5703125" style="3" customWidth="1"/>
    <col min="2578" max="2578" width="23.5703125" style="3" customWidth="1"/>
    <col min="2579" max="2579" width="16.28515625" style="3" customWidth="1"/>
    <col min="2580" max="2580" width="14.28515625" style="3" customWidth="1"/>
    <col min="2581" max="2581" width="14.140625" style="3" customWidth="1"/>
    <col min="2582" max="2582" width="17.42578125" style="3" customWidth="1"/>
    <col min="2583" max="2583" width="19.28515625" style="3" customWidth="1"/>
    <col min="2584" max="2584" width="17.7109375" style="3" customWidth="1"/>
    <col min="2585" max="2585" width="21.85546875" style="3" customWidth="1"/>
    <col min="2586" max="2586" width="11.140625" style="3" customWidth="1"/>
    <col min="2587" max="2587" width="9.28515625" style="3" customWidth="1"/>
    <col min="2588" max="2588" width="12.5703125" style="3" customWidth="1"/>
    <col min="2589" max="2589" width="13.5703125" style="3" customWidth="1"/>
    <col min="2590" max="2590" width="18" style="3" customWidth="1"/>
    <col min="2591" max="2591" width="14.85546875" style="3" customWidth="1"/>
    <col min="2592" max="2592" width="10.85546875" style="3" customWidth="1"/>
    <col min="2593" max="2594" width="9.28515625" style="3" customWidth="1"/>
    <col min="2595" max="2595" width="11.42578125" style="3" customWidth="1"/>
    <col min="2596" max="2598" width="9.140625" style="3"/>
    <col min="2599" max="2599" width="16" style="3" customWidth="1"/>
    <col min="2600" max="2601" width="21" style="3" customWidth="1"/>
    <col min="2602" max="2602" width="22.140625" style="3" customWidth="1"/>
    <col min="2603" max="2603" width="19" style="3" customWidth="1"/>
    <col min="2604" max="2605" width="17.28515625" style="3" customWidth="1"/>
    <col min="2606" max="2606" width="18.85546875" style="3" customWidth="1"/>
    <col min="2607" max="2607" width="20" style="3" customWidth="1"/>
    <col min="2608" max="2816" width="9.140625" style="3"/>
    <col min="2817" max="2817" width="8.85546875" style="3" customWidth="1"/>
    <col min="2818" max="2818" width="13.85546875" style="3" customWidth="1"/>
    <col min="2819" max="2819" width="21.140625" style="3" customWidth="1"/>
    <col min="2820" max="2820" width="22.85546875" style="3" customWidth="1"/>
    <col min="2821" max="2821" width="19.85546875" style="3" customWidth="1"/>
    <col min="2822" max="2822" width="17.5703125" style="3" customWidth="1"/>
    <col min="2823" max="2823" width="15.140625" style="3" customWidth="1"/>
    <col min="2824" max="2824" width="19.28515625" style="3" customWidth="1"/>
    <col min="2825" max="2825" width="15.85546875" style="3" customWidth="1"/>
    <col min="2826" max="2826" width="19.7109375" style="3" customWidth="1"/>
    <col min="2827" max="2827" width="18.85546875" style="3" customWidth="1"/>
    <col min="2828" max="2828" width="19.7109375" style="3" customWidth="1"/>
    <col min="2829" max="2829" width="7.28515625" style="3" customWidth="1"/>
    <col min="2830" max="2830" width="12.85546875" style="3" customWidth="1"/>
    <col min="2831" max="2831" width="9.5703125" style="3" customWidth="1"/>
    <col min="2832" max="2832" width="20" style="3" customWidth="1"/>
    <col min="2833" max="2833" width="19.5703125" style="3" customWidth="1"/>
    <col min="2834" max="2834" width="23.5703125" style="3" customWidth="1"/>
    <col min="2835" max="2835" width="16.28515625" style="3" customWidth="1"/>
    <col min="2836" max="2836" width="14.28515625" style="3" customWidth="1"/>
    <col min="2837" max="2837" width="14.140625" style="3" customWidth="1"/>
    <col min="2838" max="2838" width="17.42578125" style="3" customWidth="1"/>
    <col min="2839" max="2839" width="19.28515625" style="3" customWidth="1"/>
    <col min="2840" max="2840" width="17.7109375" style="3" customWidth="1"/>
    <col min="2841" max="2841" width="21.85546875" style="3" customWidth="1"/>
    <col min="2842" max="2842" width="11.140625" style="3" customWidth="1"/>
    <col min="2843" max="2843" width="9.28515625" style="3" customWidth="1"/>
    <col min="2844" max="2844" width="12.5703125" style="3" customWidth="1"/>
    <col min="2845" max="2845" width="13.5703125" style="3" customWidth="1"/>
    <col min="2846" max="2846" width="18" style="3" customWidth="1"/>
    <col min="2847" max="2847" width="14.85546875" style="3" customWidth="1"/>
    <col min="2848" max="2848" width="10.85546875" style="3" customWidth="1"/>
    <col min="2849" max="2850" width="9.28515625" style="3" customWidth="1"/>
    <col min="2851" max="2851" width="11.42578125" style="3" customWidth="1"/>
    <col min="2852" max="2854" width="9.140625" style="3"/>
    <col min="2855" max="2855" width="16" style="3" customWidth="1"/>
    <col min="2856" max="2857" width="21" style="3" customWidth="1"/>
    <col min="2858" max="2858" width="22.140625" style="3" customWidth="1"/>
    <col min="2859" max="2859" width="19" style="3" customWidth="1"/>
    <col min="2860" max="2861" width="17.28515625" style="3" customWidth="1"/>
    <col min="2862" max="2862" width="18.85546875" style="3" customWidth="1"/>
    <col min="2863" max="2863" width="20" style="3" customWidth="1"/>
    <col min="2864" max="3072" width="9.140625" style="3"/>
    <col min="3073" max="3073" width="8.85546875" style="3" customWidth="1"/>
    <col min="3074" max="3074" width="13.85546875" style="3" customWidth="1"/>
    <col min="3075" max="3075" width="21.140625" style="3" customWidth="1"/>
    <col min="3076" max="3076" width="22.85546875" style="3" customWidth="1"/>
    <col min="3077" max="3077" width="19.85546875" style="3" customWidth="1"/>
    <col min="3078" max="3078" width="17.5703125" style="3" customWidth="1"/>
    <col min="3079" max="3079" width="15.140625" style="3" customWidth="1"/>
    <col min="3080" max="3080" width="19.28515625" style="3" customWidth="1"/>
    <col min="3081" max="3081" width="15.85546875" style="3" customWidth="1"/>
    <col min="3082" max="3082" width="19.7109375" style="3" customWidth="1"/>
    <col min="3083" max="3083" width="18.85546875" style="3" customWidth="1"/>
    <col min="3084" max="3084" width="19.7109375" style="3" customWidth="1"/>
    <col min="3085" max="3085" width="7.28515625" style="3" customWidth="1"/>
    <col min="3086" max="3086" width="12.85546875" style="3" customWidth="1"/>
    <col min="3087" max="3087" width="9.5703125" style="3" customWidth="1"/>
    <col min="3088" max="3088" width="20" style="3" customWidth="1"/>
    <col min="3089" max="3089" width="19.5703125" style="3" customWidth="1"/>
    <col min="3090" max="3090" width="23.5703125" style="3" customWidth="1"/>
    <col min="3091" max="3091" width="16.28515625" style="3" customWidth="1"/>
    <col min="3092" max="3092" width="14.28515625" style="3" customWidth="1"/>
    <col min="3093" max="3093" width="14.140625" style="3" customWidth="1"/>
    <col min="3094" max="3094" width="17.42578125" style="3" customWidth="1"/>
    <col min="3095" max="3095" width="19.28515625" style="3" customWidth="1"/>
    <col min="3096" max="3096" width="17.7109375" style="3" customWidth="1"/>
    <col min="3097" max="3097" width="21.85546875" style="3" customWidth="1"/>
    <col min="3098" max="3098" width="11.140625" style="3" customWidth="1"/>
    <col min="3099" max="3099" width="9.28515625" style="3" customWidth="1"/>
    <col min="3100" max="3100" width="12.5703125" style="3" customWidth="1"/>
    <col min="3101" max="3101" width="13.5703125" style="3" customWidth="1"/>
    <col min="3102" max="3102" width="18" style="3" customWidth="1"/>
    <col min="3103" max="3103" width="14.85546875" style="3" customWidth="1"/>
    <col min="3104" max="3104" width="10.85546875" style="3" customWidth="1"/>
    <col min="3105" max="3106" width="9.28515625" style="3" customWidth="1"/>
    <col min="3107" max="3107" width="11.42578125" style="3" customWidth="1"/>
    <col min="3108" max="3110" width="9.140625" style="3"/>
    <col min="3111" max="3111" width="16" style="3" customWidth="1"/>
    <col min="3112" max="3113" width="21" style="3" customWidth="1"/>
    <col min="3114" max="3114" width="22.140625" style="3" customWidth="1"/>
    <col min="3115" max="3115" width="19" style="3" customWidth="1"/>
    <col min="3116" max="3117" width="17.28515625" style="3" customWidth="1"/>
    <col min="3118" max="3118" width="18.85546875" style="3" customWidth="1"/>
    <col min="3119" max="3119" width="20" style="3" customWidth="1"/>
    <col min="3120" max="3328" width="9.140625" style="3"/>
    <col min="3329" max="3329" width="8.85546875" style="3" customWidth="1"/>
    <col min="3330" max="3330" width="13.85546875" style="3" customWidth="1"/>
    <col min="3331" max="3331" width="21.140625" style="3" customWidth="1"/>
    <col min="3332" max="3332" width="22.85546875" style="3" customWidth="1"/>
    <col min="3333" max="3333" width="19.85546875" style="3" customWidth="1"/>
    <col min="3334" max="3334" width="17.5703125" style="3" customWidth="1"/>
    <col min="3335" max="3335" width="15.140625" style="3" customWidth="1"/>
    <col min="3336" max="3336" width="19.28515625" style="3" customWidth="1"/>
    <col min="3337" max="3337" width="15.85546875" style="3" customWidth="1"/>
    <col min="3338" max="3338" width="19.7109375" style="3" customWidth="1"/>
    <col min="3339" max="3339" width="18.85546875" style="3" customWidth="1"/>
    <col min="3340" max="3340" width="19.7109375" style="3" customWidth="1"/>
    <col min="3341" max="3341" width="7.28515625" style="3" customWidth="1"/>
    <col min="3342" max="3342" width="12.85546875" style="3" customWidth="1"/>
    <col min="3343" max="3343" width="9.5703125" style="3" customWidth="1"/>
    <col min="3344" max="3344" width="20" style="3" customWidth="1"/>
    <col min="3345" max="3345" width="19.5703125" style="3" customWidth="1"/>
    <col min="3346" max="3346" width="23.5703125" style="3" customWidth="1"/>
    <col min="3347" max="3347" width="16.28515625" style="3" customWidth="1"/>
    <col min="3348" max="3348" width="14.28515625" style="3" customWidth="1"/>
    <col min="3349" max="3349" width="14.140625" style="3" customWidth="1"/>
    <col min="3350" max="3350" width="17.42578125" style="3" customWidth="1"/>
    <col min="3351" max="3351" width="19.28515625" style="3" customWidth="1"/>
    <col min="3352" max="3352" width="17.7109375" style="3" customWidth="1"/>
    <col min="3353" max="3353" width="21.85546875" style="3" customWidth="1"/>
    <col min="3354" max="3354" width="11.140625" style="3" customWidth="1"/>
    <col min="3355" max="3355" width="9.28515625" style="3" customWidth="1"/>
    <col min="3356" max="3356" width="12.5703125" style="3" customWidth="1"/>
    <col min="3357" max="3357" width="13.5703125" style="3" customWidth="1"/>
    <col min="3358" max="3358" width="18" style="3" customWidth="1"/>
    <col min="3359" max="3359" width="14.85546875" style="3" customWidth="1"/>
    <col min="3360" max="3360" width="10.85546875" style="3" customWidth="1"/>
    <col min="3361" max="3362" width="9.28515625" style="3" customWidth="1"/>
    <col min="3363" max="3363" width="11.42578125" style="3" customWidth="1"/>
    <col min="3364" max="3366" width="9.140625" style="3"/>
    <col min="3367" max="3367" width="16" style="3" customWidth="1"/>
    <col min="3368" max="3369" width="21" style="3" customWidth="1"/>
    <col min="3370" max="3370" width="22.140625" style="3" customWidth="1"/>
    <col min="3371" max="3371" width="19" style="3" customWidth="1"/>
    <col min="3372" max="3373" width="17.28515625" style="3" customWidth="1"/>
    <col min="3374" max="3374" width="18.85546875" style="3" customWidth="1"/>
    <col min="3375" max="3375" width="20" style="3" customWidth="1"/>
    <col min="3376" max="3584" width="9.140625" style="3"/>
    <col min="3585" max="3585" width="8.85546875" style="3" customWidth="1"/>
    <col min="3586" max="3586" width="13.85546875" style="3" customWidth="1"/>
    <col min="3587" max="3587" width="21.140625" style="3" customWidth="1"/>
    <col min="3588" max="3588" width="22.85546875" style="3" customWidth="1"/>
    <col min="3589" max="3589" width="19.85546875" style="3" customWidth="1"/>
    <col min="3590" max="3590" width="17.5703125" style="3" customWidth="1"/>
    <col min="3591" max="3591" width="15.140625" style="3" customWidth="1"/>
    <col min="3592" max="3592" width="19.28515625" style="3" customWidth="1"/>
    <col min="3593" max="3593" width="15.85546875" style="3" customWidth="1"/>
    <col min="3594" max="3594" width="19.7109375" style="3" customWidth="1"/>
    <col min="3595" max="3595" width="18.85546875" style="3" customWidth="1"/>
    <col min="3596" max="3596" width="19.7109375" style="3" customWidth="1"/>
    <col min="3597" max="3597" width="7.28515625" style="3" customWidth="1"/>
    <col min="3598" max="3598" width="12.85546875" style="3" customWidth="1"/>
    <col min="3599" max="3599" width="9.5703125" style="3" customWidth="1"/>
    <col min="3600" max="3600" width="20" style="3" customWidth="1"/>
    <col min="3601" max="3601" width="19.5703125" style="3" customWidth="1"/>
    <col min="3602" max="3602" width="23.5703125" style="3" customWidth="1"/>
    <col min="3603" max="3603" width="16.28515625" style="3" customWidth="1"/>
    <col min="3604" max="3604" width="14.28515625" style="3" customWidth="1"/>
    <col min="3605" max="3605" width="14.140625" style="3" customWidth="1"/>
    <col min="3606" max="3606" width="17.42578125" style="3" customWidth="1"/>
    <col min="3607" max="3607" width="19.28515625" style="3" customWidth="1"/>
    <col min="3608" max="3608" width="17.7109375" style="3" customWidth="1"/>
    <col min="3609" max="3609" width="21.85546875" style="3" customWidth="1"/>
    <col min="3610" max="3610" width="11.140625" style="3" customWidth="1"/>
    <col min="3611" max="3611" width="9.28515625" style="3" customWidth="1"/>
    <col min="3612" max="3612" width="12.5703125" style="3" customWidth="1"/>
    <col min="3613" max="3613" width="13.5703125" style="3" customWidth="1"/>
    <col min="3614" max="3614" width="18" style="3" customWidth="1"/>
    <col min="3615" max="3615" width="14.85546875" style="3" customWidth="1"/>
    <col min="3616" max="3616" width="10.85546875" style="3" customWidth="1"/>
    <col min="3617" max="3618" width="9.28515625" style="3" customWidth="1"/>
    <col min="3619" max="3619" width="11.42578125" style="3" customWidth="1"/>
    <col min="3620" max="3622" width="9.140625" style="3"/>
    <col min="3623" max="3623" width="16" style="3" customWidth="1"/>
    <col min="3624" max="3625" width="21" style="3" customWidth="1"/>
    <col min="3626" max="3626" width="22.140625" style="3" customWidth="1"/>
    <col min="3627" max="3627" width="19" style="3" customWidth="1"/>
    <col min="3628" max="3629" width="17.28515625" style="3" customWidth="1"/>
    <col min="3630" max="3630" width="18.85546875" style="3" customWidth="1"/>
    <col min="3631" max="3631" width="20" style="3" customWidth="1"/>
    <col min="3632" max="3840" width="9.140625" style="3"/>
    <col min="3841" max="3841" width="8.85546875" style="3" customWidth="1"/>
    <col min="3842" max="3842" width="13.85546875" style="3" customWidth="1"/>
    <col min="3843" max="3843" width="21.140625" style="3" customWidth="1"/>
    <col min="3844" max="3844" width="22.85546875" style="3" customWidth="1"/>
    <col min="3845" max="3845" width="19.85546875" style="3" customWidth="1"/>
    <col min="3846" max="3846" width="17.5703125" style="3" customWidth="1"/>
    <col min="3847" max="3847" width="15.140625" style="3" customWidth="1"/>
    <col min="3848" max="3848" width="19.28515625" style="3" customWidth="1"/>
    <col min="3849" max="3849" width="15.85546875" style="3" customWidth="1"/>
    <col min="3850" max="3850" width="19.7109375" style="3" customWidth="1"/>
    <col min="3851" max="3851" width="18.85546875" style="3" customWidth="1"/>
    <col min="3852" max="3852" width="19.7109375" style="3" customWidth="1"/>
    <col min="3853" max="3853" width="7.28515625" style="3" customWidth="1"/>
    <col min="3854" max="3854" width="12.85546875" style="3" customWidth="1"/>
    <col min="3855" max="3855" width="9.5703125" style="3" customWidth="1"/>
    <col min="3856" max="3856" width="20" style="3" customWidth="1"/>
    <col min="3857" max="3857" width="19.5703125" style="3" customWidth="1"/>
    <col min="3858" max="3858" width="23.5703125" style="3" customWidth="1"/>
    <col min="3859" max="3859" width="16.28515625" style="3" customWidth="1"/>
    <col min="3860" max="3860" width="14.28515625" style="3" customWidth="1"/>
    <col min="3861" max="3861" width="14.140625" style="3" customWidth="1"/>
    <col min="3862" max="3862" width="17.42578125" style="3" customWidth="1"/>
    <col min="3863" max="3863" width="19.28515625" style="3" customWidth="1"/>
    <col min="3864" max="3864" width="17.7109375" style="3" customWidth="1"/>
    <col min="3865" max="3865" width="21.85546875" style="3" customWidth="1"/>
    <col min="3866" max="3866" width="11.140625" style="3" customWidth="1"/>
    <col min="3867" max="3867" width="9.28515625" style="3" customWidth="1"/>
    <col min="3868" max="3868" width="12.5703125" style="3" customWidth="1"/>
    <col min="3869" max="3869" width="13.5703125" style="3" customWidth="1"/>
    <col min="3870" max="3870" width="18" style="3" customWidth="1"/>
    <col min="3871" max="3871" width="14.85546875" style="3" customWidth="1"/>
    <col min="3872" max="3872" width="10.85546875" style="3" customWidth="1"/>
    <col min="3873" max="3874" width="9.28515625" style="3" customWidth="1"/>
    <col min="3875" max="3875" width="11.42578125" style="3" customWidth="1"/>
    <col min="3876" max="3878" width="9.140625" style="3"/>
    <col min="3879" max="3879" width="16" style="3" customWidth="1"/>
    <col min="3880" max="3881" width="21" style="3" customWidth="1"/>
    <col min="3882" max="3882" width="22.140625" style="3" customWidth="1"/>
    <col min="3883" max="3883" width="19" style="3" customWidth="1"/>
    <col min="3884" max="3885" width="17.28515625" style="3" customWidth="1"/>
    <col min="3886" max="3886" width="18.85546875" style="3" customWidth="1"/>
    <col min="3887" max="3887" width="20" style="3" customWidth="1"/>
    <col min="3888" max="4096" width="9.140625" style="3"/>
    <col min="4097" max="4097" width="8.85546875" style="3" customWidth="1"/>
    <col min="4098" max="4098" width="13.85546875" style="3" customWidth="1"/>
    <col min="4099" max="4099" width="21.140625" style="3" customWidth="1"/>
    <col min="4100" max="4100" width="22.85546875" style="3" customWidth="1"/>
    <col min="4101" max="4101" width="19.85546875" style="3" customWidth="1"/>
    <col min="4102" max="4102" width="17.5703125" style="3" customWidth="1"/>
    <col min="4103" max="4103" width="15.140625" style="3" customWidth="1"/>
    <col min="4104" max="4104" width="19.28515625" style="3" customWidth="1"/>
    <col min="4105" max="4105" width="15.85546875" style="3" customWidth="1"/>
    <col min="4106" max="4106" width="19.7109375" style="3" customWidth="1"/>
    <col min="4107" max="4107" width="18.85546875" style="3" customWidth="1"/>
    <col min="4108" max="4108" width="19.7109375" style="3" customWidth="1"/>
    <col min="4109" max="4109" width="7.28515625" style="3" customWidth="1"/>
    <col min="4110" max="4110" width="12.85546875" style="3" customWidth="1"/>
    <col min="4111" max="4111" width="9.5703125" style="3" customWidth="1"/>
    <col min="4112" max="4112" width="20" style="3" customWidth="1"/>
    <col min="4113" max="4113" width="19.5703125" style="3" customWidth="1"/>
    <col min="4114" max="4114" width="23.5703125" style="3" customWidth="1"/>
    <col min="4115" max="4115" width="16.28515625" style="3" customWidth="1"/>
    <col min="4116" max="4116" width="14.28515625" style="3" customWidth="1"/>
    <col min="4117" max="4117" width="14.140625" style="3" customWidth="1"/>
    <col min="4118" max="4118" width="17.42578125" style="3" customWidth="1"/>
    <col min="4119" max="4119" width="19.28515625" style="3" customWidth="1"/>
    <col min="4120" max="4120" width="17.7109375" style="3" customWidth="1"/>
    <col min="4121" max="4121" width="21.85546875" style="3" customWidth="1"/>
    <col min="4122" max="4122" width="11.140625" style="3" customWidth="1"/>
    <col min="4123" max="4123" width="9.28515625" style="3" customWidth="1"/>
    <col min="4124" max="4124" width="12.5703125" style="3" customWidth="1"/>
    <col min="4125" max="4125" width="13.5703125" style="3" customWidth="1"/>
    <col min="4126" max="4126" width="18" style="3" customWidth="1"/>
    <col min="4127" max="4127" width="14.85546875" style="3" customWidth="1"/>
    <col min="4128" max="4128" width="10.85546875" style="3" customWidth="1"/>
    <col min="4129" max="4130" width="9.28515625" style="3" customWidth="1"/>
    <col min="4131" max="4131" width="11.42578125" style="3" customWidth="1"/>
    <col min="4132" max="4134" width="9.140625" style="3"/>
    <col min="4135" max="4135" width="16" style="3" customWidth="1"/>
    <col min="4136" max="4137" width="21" style="3" customWidth="1"/>
    <col min="4138" max="4138" width="22.140625" style="3" customWidth="1"/>
    <col min="4139" max="4139" width="19" style="3" customWidth="1"/>
    <col min="4140" max="4141" width="17.28515625" style="3" customWidth="1"/>
    <col min="4142" max="4142" width="18.85546875" style="3" customWidth="1"/>
    <col min="4143" max="4143" width="20" style="3" customWidth="1"/>
    <col min="4144" max="4352" width="9.140625" style="3"/>
    <col min="4353" max="4353" width="8.85546875" style="3" customWidth="1"/>
    <col min="4354" max="4354" width="13.85546875" style="3" customWidth="1"/>
    <col min="4355" max="4355" width="21.140625" style="3" customWidth="1"/>
    <col min="4356" max="4356" width="22.85546875" style="3" customWidth="1"/>
    <col min="4357" max="4357" width="19.85546875" style="3" customWidth="1"/>
    <col min="4358" max="4358" width="17.5703125" style="3" customWidth="1"/>
    <col min="4359" max="4359" width="15.140625" style="3" customWidth="1"/>
    <col min="4360" max="4360" width="19.28515625" style="3" customWidth="1"/>
    <col min="4361" max="4361" width="15.85546875" style="3" customWidth="1"/>
    <col min="4362" max="4362" width="19.7109375" style="3" customWidth="1"/>
    <col min="4363" max="4363" width="18.85546875" style="3" customWidth="1"/>
    <col min="4364" max="4364" width="19.7109375" style="3" customWidth="1"/>
    <col min="4365" max="4365" width="7.28515625" style="3" customWidth="1"/>
    <col min="4366" max="4366" width="12.85546875" style="3" customWidth="1"/>
    <col min="4367" max="4367" width="9.5703125" style="3" customWidth="1"/>
    <col min="4368" max="4368" width="20" style="3" customWidth="1"/>
    <col min="4369" max="4369" width="19.5703125" style="3" customWidth="1"/>
    <col min="4370" max="4370" width="23.5703125" style="3" customWidth="1"/>
    <col min="4371" max="4371" width="16.28515625" style="3" customWidth="1"/>
    <col min="4372" max="4372" width="14.28515625" style="3" customWidth="1"/>
    <col min="4373" max="4373" width="14.140625" style="3" customWidth="1"/>
    <col min="4374" max="4374" width="17.42578125" style="3" customWidth="1"/>
    <col min="4375" max="4375" width="19.28515625" style="3" customWidth="1"/>
    <col min="4376" max="4376" width="17.7109375" style="3" customWidth="1"/>
    <col min="4377" max="4377" width="21.85546875" style="3" customWidth="1"/>
    <col min="4378" max="4378" width="11.140625" style="3" customWidth="1"/>
    <col min="4379" max="4379" width="9.28515625" style="3" customWidth="1"/>
    <col min="4380" max="4380" width="12.5703125" style="3" customWidth="1"/>
    <col min="4381" max="4381" width="13.5703125" style="3" customWidth="1"/>
    <col min="4382" max="4382" width="18" style="3" customWidth="1"/>
    <col min="4383" max="4383" width="14.85546875" style="3" customWidth="1"/>
    <col min="4384" max="4384" width="10.85546875" style="3" customWidth="1"/>
    <col min="4385" max="4386" width="9.28515625" style="3" customWidth="1"/>
    <col min="4387" max="4387" width="11.42578125" style="3" customWidth="1"/>
    <col min="4388" max="4390" width="9.140625" style="3"/>
    <col min="4391" max="4391" width="16" style="3" customWidth="1"/>
    <col min="4392" max="4393" width="21" style="3" customWidth="1"/>
    <col min="4394" max="4394" width="22.140625" style="3" customWidth="1"/>
    <col min="4395" max="4395" width="19" style="3" customWidth="1"/>
    <col min="4396" max="4397" width="17.28515625" style="3" customWidth="1"/>
    <col min="4398" max="4398" width="18.85546875" style="3" customWidth="1"/>
    <col min="4399" max="4399" width="20" style="3" customWidth="1"/>
    <col min="4400" max="4608" width="9.140625" style="3"/>
    <col min="4609" max="4609" width="8.85546875" style="3" customWidth="1"/>
    <col min="4610" max="4610" width="13.85546875" style="3" customWidth="1"/>
    <col min="4611" max="4611" width="21.140625" style="3" customWidth="1"/>
    <col min="4612" max="4612" width="22.85546875" style="3" customWidth="1"/>
    <col min="4613" max="4613" width="19.85546875" style="3" customWidth="1"/>
    <col min="4614" max="4614" width="17.5703125" style="3" customWidth="1"/>
    <col min="4615" max="4615" width="15.140625" style="3" customWidth="1"/>
    <col min="4616" max="4616" width="19.28515625" style="3" customWidth="1"/>
    <col min="4617" max="4617" width="15.85546875" style="3" customWidth="1"/>
    <col min="4618" max="4618" width="19.7109375" style="3" customWidth="1"/>
    <col min="4619" max="4619" width="18.85546875" style="3" customWidth="1"/>
    <col min="4620" max="4620" width="19.7109375" style="3" customWidth="1"/>
    <col min="4621" max="4621" width="7.28515625" style="3" customWidth="1"/>
    <col min="4622" max="4622" width="12.85546875" style="3" customWidth="1"/>
    <col min="4623" max="4623" width="9.5703125" style="3" customWidth="1"/>
    <col min="4624" max="4624" width="20" style="3" customWidth="1"/>
    <col min="4625" max="4625" width="19.5703125" style="3" customWidth="1"/>
    <col min="4626" max="4626" width="23.5703125" style="3" customWidth="1"/>
    <col min="4627" max="4627" width="16.28515625" style="3" customWidth="1"/>
    <col min="4628" max="4628" width="14.28515625" style="3" customWidth="1"/>
    <col min="4629" max="4629" width="14.140625" style="3" customWidth="1"/>
    <col min="4630" max="4630" width="17.42578125" style="3" customWidth="1"/>
    <col min="4631" max="4631" width="19.28515625" style="3" customWidth="1"/>
    <col min="4632" max="4632" width="17.7109375" style="3" customWidth="1"/>
    <col min="4633" max="4633" width="21.85546875" style="3" customWidth="1"/>
    <col min="4634" max="4634" width="11.140625" style="3" customWidth="1"/>
    <col min="4635" max="4635" width="9.28515625" style="3" customWidth="1"/>
    <col min="4636" max="4636" width="12.5703125" style="3" customWidth="1"/>
    <col min="4637" max="4637" width="13.5703125" style="3" customWidth="1"/>
    <col min="4638" max="4638" width="18" style="3" customWidth="1"/>
    <col min="4639" max="4639" width="14.85546875" style="3" customWidth="1"/>
    <col min="4640" max="4640" width="10.85546875" style="3" customWidth="1"/>
    <col min="4641" max="4642" width="9.28515625" style="3" customWidth="1"/>
    <col min="4643" max="4643" width="11.42578125" style="3" customWidth="1"/>
    <col min="4644" max="4646" width="9.140625" style="3"/>
    <col min="4647" max="4647" width="16" style="3" customWidth="1"/>
    <col min="4648" max="4649" width="21" style="3" customWidth="1"/>
    <col min="4650" max="4650" width="22.140625" style="3" customWidth="1"/>
    <col min="4651" max="4651" width="19" style="3" customWidth="1"/>
    <col min="4652" max="4653" width="17.28515625" style="3" customWidth="1"/>
    <col min="4654" max="4654" width="18.85546875" style="3" customWidth="1"/>
    <col min="4655" max="4655" width="20" style="3" customWidth="1"/>
    <col min="4656" max="4864" width="9.140625" style="3"/>
    <col min="4865" max="4865" width="8.85546875" style="3" customWidth="1"/>
    <col min="4866" max="4866" width="13.85546875" style="3" customWidth="1"/>
    <col min="4867" max="4867" width="21.140625" style="3" customWidth="1"/>
    <col min="4868" max="4868" width="22.85546875" style="3" customWidth="1"/>
    <col min="4869" max="4869" width="19.85546875" style="3" customWidth="1"/>
    <col min="4870" max="4870" width="17.5703125" style="3" customWidth="1"/>
    <col min="4871" max="4871" width="15.140625" style="3" customWidth="1"/>
    <col min="4872" max="4872" width="19.28515625" style="3" customWidth="1"/>
    <col min="4873" max="4873" width="15.85546875" style="3" customWidth="1"/>
    <col min="4874" max="4874" width="19.7109375" style="3" customWidth="1"/>
    <col min="4875" max="4875" width="18.85546875" style="3" customWidth="1"/>
    <col min="4876" max="4876" width="19.7109375" style="3" customWidth="1"/>
    <col min="4877" max="4877" width="7.28515625" style="3" customWidth="1"/>
    <col min="4878" max="4878" width="12.85546875" style="3" customWidth="1"/>
    <col min="4879" max="4879" width="9.5703125" style="3" customWidth="1"/>
    <col min="4880" max="4880" width="20" style="3" customWidth="1"/>
    <col min="4881" max="4881" width="19.5703125" style="3" customWidth="1"/>
    <col min="4882" max="4882" width="23.5703125" style="3" customWidth="1"/>
    <col min="4883" max="4883" width="16.28515625" style="3" customWidth="1"/>
    <col min="4884" max="4884" width="14.28515625" style="3" customWidth="1"/>
    <col min="4885" max="4885" width="14.140625" style="3" customWidth="1"/>
    <col min="4886" max="4886" width="17.42578125" style="3" customWidth="1"/>
    <col min="4887" max="4887" width="19.28515625" style="3" customWidth="1"/>
    <col min="4888" max="4888" width="17.7109375" style="3" customWidth="1"/>
    <col min="4889" max="4889" width="21.85546875" style="3" customWidth="1"/>
    <col min="4890" max="4890" width="11.140625" style="3" customWidth="1"/>
    <col min="4891" max="4891" width="9.28515625" style="3" customWidth="1"/>
    <col min="4892" max="4892" width="12.5703125" style="3" customWidth="1"/>
    <col min="4893" max="4893" width="13.5703125" style="3" customWidth="1"/>
    <col min="4894" max="4894" width="18" style="3" customWidth="1"/>
    <col min="4895" max="4895" width="14.85546875" style="3" customWidth="1"/>
    <col min="4896" max="4896" width="10.85546875" style="3" customWidth="1"/>
    <col min="4897" max="4898" width="9.28515625" style="3" customWidth="1"/>
    <col min="4899" max="4899" width="11.42578125" style="3" customWidth="1"/>
    <col min="4900" max="4902" width="9.140625" style="3"/>
    <col min="4903" max="4903" width="16" style="3" customWidth="1"/>
    <col min="4904" max="4905" width="21" style="3" customWidth="1"/>
    <col min="4906" max="4906" width="22.140625" style="3" customWidth="1"/>
    <col min="4907" max="4907" width="19" style="3" customWidth="1"/>
    <col min="4908" max="4909" width="17.28515625" style="3" customWidth="1"/>
    <col min="4910" max="4910" width="18.85546875" style="3" customWidth="1"/>
    <col min="4911" max="4911" width="20" style="3" customWidth="1"/>
    <col min="4912" max="5120" width="9.140625" style="3"/>
    <col min="5121" max="5121" width="8.85546875" style="3" customWidth="1"/>
    <col min="5122" max="5122" width="13.85546875" style="3" customWidth="1"/>
    <col min="5123" max="5123" width="21.140625" style="3" customWidth="1"/>
    <col min="5124" max="5124" width="22.85546875" style="3" customWidth="1"/>
    <col min="5125" max="5125" width="19.85546875" style="3" customWidth="1"/>
    <col min="5126" max="5126" width="17.5703125" style="3" customWidth="1"/>
    <col min="5127" max="5127" width="15.140625" style="3" customWidth="1"/>
    <col min="5128" max="5128" width="19.28515625" style="3" customWidth="1"/>
    <col min="5129" max="5129" width="15.85546875" style="3" customWidth="1"/>
    <col min="5130" max="5130" width="19.7109375" style="3" customWidth="1"/>
    <col min="5131" max="5131" width="18.85546875" style="3" customWidth="1"/>
    <col min="5132" max="5132" width="19.7109375" style="3" customWidth="1"/>
    <col min="5133" max="5133" width="7.28515625" style="3" customWidth="1"/>
    <col min="5134" max="5134" width="12.85546875" style="3" customWidth="1"/>
    <col min="5135" max="5135" width="9.5703125" style="3" customWidth="1"/>
    <col min="5136" max="5136" width="20" style="3" customWidth="1"/>
    <col min="5137" max="5137" width="19.5703125" style="3" customWidth="1"/>
    <col min="5138" max="5138" width="23.5703125" style="3" customWidth="1"/>
    <col min="5139" max="5139" width="16.28515625" style="3" customWidth="1"/>
    <col min="5140" max="5140" width="14.28515625" style="3" customWidth="1"/>
    <col min="5141" max="5141" width="14.140625" style="3" customWidth="1"/>
    <col min="5142" max="5142" width="17.42578125" style="3" customWidth="1"/>
    <col min="5143" max="5143" width="19.28515625" style="3" customWidth="1"/>
    <col min="5144" max="5144" width="17.7109375" style="3" customWidth="1"/>
    <col min="5145" max="5145" width="21.85546875" style="3" customWidth="1"/>
    <col min="5146" max="5146" width="11.140625" style="3" customWidth="1"/>
    <col min="5147" max="5147" width="9.28515625" style="3" customWidth="1"/>
    <col min="5148" max="5148" width="12.5703125" style="3" customWidth="1"/>
    <col min="5149" max="5149" width="13.5703125" style="3" customWidth="1"/>
    <col min="5150" max="5150" width="18" style="3" customWidth="1"/>
    <col min="5151" max="5151" width="14.85546875" style="3" customWidth="1"/>
    <col min="5152" max="5152" width="10.85546875" style="3" customWidth="1"/>
    <col min="5153" max="5154" width="9.28515625" style="3" customWidth="1"/>
    <col min="5155" max="5155" width="11.42578125" style="3" customWidth="1"/>
    <col min="5156" max="5158" width="9.140625" style="3"/>
    <col min="5159" max="5159" width="16" style="3" customWidth="1"/>
    <col min="5160" max="5161" width="21" style="3" customWidth="1"/>
    <col min="5162" max="5162" width="22.140625" style="3" customWidth="1"/>
    <col min="5163" max="5163" width="19" style="3" customWidth="1"/>
    <col min="5164" max="5165" width="17.28515625" style="3" customWidth="1"/>
    <col min="5166" max="5166" width="18.85546875" style="3" customWidth="1"/>
    <col min="5167" max="5167" width="20" style="3" customWidth="1"/>
    <col min="5168" max="5376" width="9.140625" style="3"/>
    <col min="5377" max="5377" width="8.85546875" style="3" customWidth="1"/>
    <col min="5378" max="5378" width="13.85546875" style="3" customWidth="1"/>
    <col min="5379" max="5379" width="21.140625" style="3" customWidth="1"/>
    <col min="5380" max="5380" width="22.85546875" style="3" customWidth="1"/>
    <col min="5381" max="5381" width="19.85546875" style="3" customWidth="1"/>
    <col min="5382" max="5382" width="17.5703125" style="3" customWidth="1"/>
    <col min="5383" max="5383" width="15.140625" style="3" customWidth="1"/>
    <col min="5384" max="5384" width="19.28515625" style="3" customWidth="1"/>
    <col min="5385" max="5385" width="15.85546875" style="3" customWidth="1"/>
    <col min="5386" max="5386" width="19.7109375" style="3" customWidth="1"/>
    <col min="5387" max="5387" width="18.85546875" style="3" customWidth="1"/>
    <col min="5388" max="5388" width="19.7109375" style="3" customWidth="1"/>
    <col min="5389" max="5389" width="7.28515625" style="3" customWidth="1"/>
    <col min="5390" max="5390" width="12.85546875" style="3" customWidth="1"/>
    <col min="5391" max="5391" width="9.5703125" style="3" customWidth="1"/>
    <col min="5392" max="5392" width="20" style="3" customWidth="1"/>
    <col min="5393" max="5393" width="19.5703125" style="3" customWidth="1"/>
    <col min="5394" max="5394" width="23.5703125" style="3" customWidth="1"/>
    <col min="5395" max="5395" width="16.28515625" style="3" customWidth="1"/>
    <col min="5396" max="5396" width="14.28515625" style="3" customWidth="1"/>
    <col min="5397" max="5397" width="14.140625" style="3" customWidth="1"/>
    <col min="5398" max="5398" width="17.42578125" style="3" customWidth="1"/>
    <col min="5399" max="5399" width="19.28515625" style="3" customWidth="1"/>
    <col min="5400" max="5400" width="17.7109375" style="3" customWidth="1"/>
    <col min="5401" max="5401" width="21.85546875" style="3" customWidth="1"/>
    <col min="5402" max="5402" width="11.140625" style="3" customWidth="1"/>
    <col min="5403" max="5403" width="9.28515625" style="3" customWidth="1"/>
    <col min="5404" max="5404" width="12.5703125" style="3" customWidth="1"/>
    <col min="5405" max="5405" width="13.5703125" style="3" customWidth="1"/>
    <col min="5406" max="5406" width="18" style="3" customWidth="1"/>
    <col min="5407" max="5407" width="14.85546875" style="3" customWidth="1"/>
    <col min="5408" max="5408" width="10.85546875" style="3" customWidth="1"/>
    <col min="5409" max="5410" width="9.28515625" style="3" customWidth="1"/>
    <col min="5411" max="5411" width="11.42578125" style="3" customWidth="1"/>
    <col min="5412" max="5414" width="9.140625" style="3"/>
    <col min="5415" max="5415" width="16" style="3" customWidth="1"/>
    <col min="5416" max="5417" width="21" style="3" customWidth="1"/>
    <col min="5418" max="5418" width="22.140625" style="3" customWidth="1"/>
    <col min="5419" max="5419" width="19" style="3" customWidth="1"/>
    <col min="5420" max="5421" width="17.28515625" style="3" customWidth="1"/>
    <col min="5422" max="5422" width="18.85546875" style="3" customWidth="1"/>
    <col min="5423" max="5423" width="20" style="3" customWidth="1"/>
    <col min="5424" max="5632" width="9.140625" style="3"/>
    <col min="5633" max="5633" width="8.85546875" style="3" customWidth="1"/>
    <col min="5634" max="5634" width="13.85546875" style="3" customWidth="1"/>
    <col min="5635" max="5635" width="21.140625" style="3" customWidth="1"/>
    <col min="5636" max="5636" width="22.85546875" style="3" customWidth="1"/>
    <col min="5637" max="5637" width="19.85546875" style="3" customWidth="1"/>
    <col min="5638" max="5638" width="17.5703125" style="3" customWidth="1"/>
    <col min="5639" max="5639" width="15.140625" style="3" customWidth="1"/>
    <col min="5640" max="5640" width="19.28515625" style="3" customWidth="1"/>
    <col min="5641" max="5641" width="15.85546875" style="3" customWidth="1"/>
    <col min="5642" max="5642" width="19.7109375" style="3" customWidth="1"/>
    <col min="5643" max="5643" width="18.85546875" style="3" customWidth="1"/>
    <col min="5644" max="5644" width="19.7109375" style="3" customWidth="1"/>
    <col min="5645" max="5645" width="7.28515625" style="3" customWidth="1"/>
    <col min="5646" max="5646" width="12.85546875" style="3" customWidth="1"/>
    <col min="5647" max="5647" width="9.5703125" style="3" customWidth="1"/>
    <col min="5648" max="5648" width="20" style="3" customWidth="1"/>
    <col min="5649" max="5649" width="19.5703125" style="3" customWidth="1"/>
    <col min="5650" max="5650" width="23.5703125" style="3" customWidth="1"/>
    <col min="5651" max="5651" width="16.28515625" style="3" customWidth="1"/>
    <col min="5652" max="5652" width="14.28515625" style="3" customWidth="1"/>
    <col min="5653" max="5653" width="14.140625" style="3" customWidth="1"/>
    <col min="5654" max="5654" width="17.42578125" style="3" customWidth="1"/>
    <col min="5655" max="5655" width="19.28515625" style="3" customWidth="1"/>
    <col min="5656" max="5656" width="17.7109375" style="3" customWidth="1"/>
    <col min="5657" max="5657" width="21.85546875" style="3" customWidth="1"/>
    <col min="5658" max="5658" width="11.140625" style="3" customWidth="1"/>
    <col min="5659" max="5659" width="9.28515625" style="3" customWidth="1"/>
    <col min="5660" max="5660" width="12.5703125" style="3" customWidth="1"/>
    <col min="5661" max="5661" width="13.5703125" style="3" customWidth="1"/>
    <col min="5662" max="5662" width="18" style="3" customWidth="1"/>
    <col min="5663" max="5663" width="14.85546875" style="3" customWidth="1"/>
    <col min="5664" max="5664" width="10.85546875" style="3" customWidth="1"/>
    <col min="5665" max="5666" width="9.28515625" style="3" customWidth="1"/>
    <col min="5667" max="5667" width="11.42578125" style="3" customWidth="1"/>
    <col min="5668" max="5670" width="9.140625" style="3"/>
    <col min="5671" max="5671" width="16" style="3" customWidth="1"/>
    <col min="5672" max="5673" width="21" style="3" customWidth="1"/>
    <col min="5674" max="5674" width="22.140625" style="3" customWidth="1"/>
    <col min="5675" max="5675" width="19" style="3" customWidth="1"/>
    <col min="5676" max="5677" width="17.28515625" style="3" customWidth="1"/>
    <col min="5678" max="5678" width="18.85546875" style="3" customWidth="1"/>
    <col min="5679" max="5679" width="20" style="3" customWidth="1"/>
    <col min="5680" max="5888" width="9.140625" style="3"/>
    <col min="5889" max="5889" width="8.85546875" style="3" customWidth="1"/>
    <col min="5890" max="5890" width="13.85546875" style="3" customWidth="1"/>
    <col min="5891" max="5891" width="21.140625" style="3" customWidth="1"/>
    <col min="5892" max="5892" width="22.85546875" style="3" customWidth="1"/>
    <col min="5893" max="5893" width="19.85546875" style="3" customWidth="1"/>
    <col min="5894" max="5894" width="17.5703125" style="3" customWidth="1"/>
    <col min="5895" max="5895" width="15.140625" style="3" customWidth="1"/>
    <col min="5896" max="5896" width="19.28515625" style="3" customWidth="1"/>
    <col min="5897" max="5897" width="15.85546875" style="3" customWidth="1"/>
    <col min="5898" max="5898" width="19.7109375" style="3" customWidth="1"/>
    <col min="5899" max="5899" width="18.85546875" style="3" customWidth="1"/>
    <col min="5900" max="5900" width="19.7109375" style="3" customWidth="1"/>
    <col min="5901" max="5901" width="7.28515625" style="3" customWidth="1"/>
    <col min="5902" max="5902" width="12.85546875" style="3" customWidth="1"/>
    <col min="5903" max="5903" width="9.5703125" style="3" customWidth="1"/>
    <col min="5904" max="5904" width="20" style="3" customWidth="1"/>
    <col min="5905" max="5905" width="19.5703125" style="3" customWidth="1"/>
    <col min="5906" max="5906" width="23.5703125" style="3" customWidth="1"/>
    <col min="5907" max="5907" width="16.28515625" style="3" customWidth="1"/>
    <col min="5908" max="5908" width="14.28515625" style="3" customWidth="1"/>
    <col min="5909" max="5909" width="14.140625" style="3" customWidth="1"/>
    <col min="5910" max="5910" width="17.42578125" style="3" customWidth="1"/>
    <col min="5911" max="5911" width="19.28515625" style="3" customWidth="1"/>
    <col min="5912" max="5912" width="17.7109375" style="3" customWidth="1"/>
    <col min="5913" max="5913" width="21.85546875" style="3" customWidth="1"/>
    <col min="5914" max="5914" width="11.140625" style="3" customWidth="1"/>
    <col min="5915" max="5915" width="9.28515625" style="3" customWidth="1"/>
    <col min="5916" max="5916" width="12.5703125" style="3" customWidth="1"/>
    <col min="5917" max="5917" width="13.5703125" style="3" customWidth="1"/>
    <col min="5918" max="5918" width="18" style="3" customWidth="1"/>
    <col min="5919" max="5919" width="14.85546875" style="3" customWidth="1"/>
    <col min="5920" max="5920" width="10.85546875" style="3" customWidth="1"/>
    <col min="5921" max="5922" width="9.28515625" style="3" customWidth="1"/>
    <col min="5923" max="5923" width="11.42578125" style="3" customWidth="1"/>
    <col min="5924" max="5926" width="9.140625" style="3"/>
    <col min="5927" max="5927" width="16" style="3" customWidth="1"/>
    <col min="5928" max="5929" width="21" style="3" customWidth="1"/>
    <col min="5930" max="5930" width="22.140625" style="3" customWidth="1"/>
    <col min="5931" max="5931" width="19" style="3" customWidth="1"/>
    <col min="5932" max="5933" width="17.28515625" style="3" customWidth="1"/>
    <col min="5934" max="5934" width="18.85546875" style="3" customWidth="1"/>
    <col min="5935" max="5935" width="20" style="3" customWidth="1"/>
    <col min="5936" max="6144" width="9.140625" style="3"/>
    <col min="6145" max="6145" width="8.85546875" style="3" customWidth="1"/>
    <col min="6146" max="6146" width="13.85546875" style="3" customWidth="1"/>
    <col min="6147" max="6147" width="21.140625" style="3" customWidth="1"/>
    <col min="6148" max="6148" width="22.85546875" style="3" customWidth="1"/>
    <col min="6149" max="6149" width="19.85546875" style="3" customWidth="1"/>
    <col min="6150" max="6150" width="17.5703125" style="3" customWidth="1"/>
    <col min="6151" max="6151" width="15.140625" style="3" customWidth="1"/>
    <col min="6152" max="6152" width="19.28515625" style="3" customWidth="1"/>
    <col min="6153" max="6153" width="15.85546875" style="3" customWidth="1"/>
    <col min="6154" max="6154" width="19.7109375" style="3" customWidth="1"/>
    <col min="6155" max="6155" width="18.85546875" style="3" customWidth="1"/>
    <col min="6156" max="6156" width="19.7109375" style="3" customWidth="1"/>
    <col min="6157" max="6157" width="7.28515625" style="3" customWidth="1"/>
    <col min="6158" max="6158" width="12.85546875" style="3" customWidth="1"/>
    <col min="6159" max="6159" width="9.5703125" style="3" customWidth="1"/>
    <col min="6160" max="6160" width="20" style="3" customWidth="1"/>
    <col min="6161" max="6161" width="19.5703125" style="3" customWidth="1"/>
    <col min="6162" max="6162" width="23.5703125" style="3" customWidth="1"/>
    <col min="6163" max="6163" width="16.28515625" style="3" customWidth="1"/>
    <col min="6164" max="6164" width="14.28515625" style="3" customWidth="1"/>
    <col min="6165" max="6165" width="14.140625" style="3" customWidth="1"/>
    <col min="6166" max="6166" width="17.42578125" style="3" customWidth="1"/>
    <col min="6167" max="6167" width="19.28515625" style="3" customWidth="1"/>
    <col min="6168" max="6168" width="17.7109375" style="3" customWidth="1"/>
    <col min="6169" max="6169" width="21.85546875" style="3" customWidth="1"/>
    <col min="6170" max="6170" width="11.140625" style="3" customWidth="1"/>
    <col min="6171" max="6171" width="9.28515625" style="3" customWidth="1"/>
    <col min="6172" max="6172" width="12.5703125" style="3" customWidth="1"/>
    <col min="6173" max="6173" width="13.5703125" style="3" customWidth="1"/>
    <col min="6174" max="6174" width="18" style="3" customWidth="1"/>
    <col min="6175" max="6175" width="14.85546875" style="3" customWidth="1"/>
    <col min="6176" max="6176" width="10.85546875" style="3" customWidth="1"/>
    <col min="6177" max="6178" width="9.28515625" style="3" customWidth="1"/>
    <col min="6179" max="6179" width="11.42578125" style="3" customWidth="1"/>
    <col min="6180" max="6182" width="9.140625" style="3"/>
    <col min="6183" max="6183" width="16" style="3" customWidth="1"/>
    <col min="6184" max="6185" width="21" style="3" customWidth="1"/>
    <col min="6186" max="6186" width="22.140625" style="3" customWidth="1"/>
    <col min="6187" max="6187" width="19" style="3" customWidth="1"/>
    <col min="6188" max="6189" width="17.28515625" style="3" customWidth="1"/>
    <col min="6190" max="6190" width="18.85546875" style="3" customWidth="1"/>
    <col min="6191" max="6191" width="20" style="3" customWidth="1"/>
    <col min="6192" max="6400" width="9.140625" style="3"/>
    <col min="6401" max="6401" width="8.85546875" style="3" customWidth="1"/>
    <col min="6402" max="6402" width="13.85546875" style="3" customWidth="1"/>
    <col min="6403" max="6403" width="21.140625" style="3" customWidth="1"/>
    <col min="6404" max="6404" width="22.85546875" style="3" customWidth="1"/>
    <col min="6405" max="6405" width="19.85546875" style="3" customWidth="1"/>
    <col min="6406" max="6406" width="17.5703125" style="3" customWidth="1"/>
    <col min="6407" max="6407" width="15.140625" style="3" customWidth="1"/>
    <col min="6408" max="6408" width="19.28515625" style="3" customWidth="1"/>
    <col min="6409" max="6409" width="15.85546875" style="3" customWidth="1"/>
    <col min="6410" max="6410" width="19.7109375" style="3" customWidth="1"/>
    <col min="6411" max="6411" width="18.85546875" style="3" customWidth="1"/>
    <col min="6412" max="6412" width="19.7109375" style="3" customWidth="1"/>
    <col min="6413" max="6413" width="7.28515625" style="3" customWidth="1"/>
    <col min="6414" max="6414" width="12.85546875" style="3" customWidth="1"/>
    <col min="6415" max="6415" width="9.5703125" style="3" customWidth="1"/>
    <col min="6416" max="6416" width="20" style="3" customWidth="1"/>
    <col min="6417" max="6417" width="19.5703125" style="3" customWidth="1"/>
    <col min="6418" max="6418" width="23.5703125" style="3" customWidth="1"/>
    <col min="6419" max="6419" width="16.28515625" style="3" customWidth="1"/>
    <col min="6420" max="6420" width="14.28515625" style="3" customWidth="1"/>
    <col min="6421" max="6421" width="14.140625" style="3" customWidth="1"/>
    <col min="6422" max="6422" width="17.42578125" style="3" customWidth="1"/>
    <col min="6423" max="6423" width="19.28515625" style="3" customWidth="1"/>
    <col min="6424" max="6424" width="17.7109375" style="3" customWidth="1"/>
    <col min="6425" max="6425" width="21.85546875" style="3" customWidth="1"/>
    <col min="6426" max="6426" width="11.140625" style="3" customWidth="1"/>
    <col min="6427" max="6427" width="9.28515625" style="3" customWidth="1"/>
    <col min="6428" max="6428" width="12.5703125" style="3" customWidth="1"/>
    <col min="6429" max="6429" width="13.5703125" style="3" customWidth="1"/>
    <col min="6430" max="6430" width="18" style="3" customWidth="1"/>
    <col min="6431" max="6431" width="14.85546875" style="3" customWidth="1"/>
    <col min="6432" max="6432" width="10.85546875" style="3" customWidth="1"/>
    <col min="6433" max="6434" width="9.28515625" style="3" customWidth="1"/>
    <col min="6435" max="6435" width="11.42578125" style="3" customWidth="1"/>
    <col min="6436" max="6438" width="9.140625" style="3"/>
    <col min="6439" max="6439" width="16" style="3" customWidth="1"/>
    <col min="6440" max="6441" width="21" style="3" customWidth="1"/>
    <col min="6442" max="6442" width="22.140625" style="3" customWidth="1"/>
    <col min="6443" max="6443" width="19" style="3" customWidth="1"/>
    <col min="6444" max="6445" width="17.28515625" style="3" customWidth="1"/>
    <col min="6446" max="6446" width="18.85546875" style="3" customWidth="1"/>
    <col min="6447" max="6447" width="20" style="3" customWidth="1"/>
    <col min="6448" max="6656" width="9.140625" style="3"/>
    <col min="6657" max="6657" width="8.85546875" style="3" customWidth="1"/>
    <col min="6658" max="6658" width="13.85546875" style="3" customWidth="1"/>
    <col min="6659" max="6659" width="21.140625" style="3" customWidth="1"/>
    <col min="6660" max="6660" width="22.85546875" style="3" customWidth="1"/>
    <col min="6661" max="6661" width="19.85546875" style="3" customWidth="1"/>
    <col min="6662" max="6662" width="17.5703125" style="3" customWidth="1"/>
    <col min="6663" max="6663" width="15.140625" style="3" customWidth="1"/>
    <col min="6664" max="6664" width="19.28515625" style="3" customWidth="1"/>
    <col min="6665" max="6665" width="15.85546875" style="3" customWidth="1"/>
    <col min="6666" max="6666" width="19.7109375" style="3" customWidth="1"/>
    <col min="6667" max="6667" width="18.85546875" style="3" customWidth="1"/>
    <col min="6668" max="6668" width="19.7109375" style="3" customWidth="1"/>
    <col min="6669" max="6669" width="7.28515625" style="3" customWidth="1"/>
    <col min="6670" max="6670" width="12.85546875" style="3" customWidth="1"/>
    <col min="6671" max="6671" width="9.5703125" style="3" customWidth="1"/>
    <col min="6672" max="6672" width="20" style="3" customWidth="1"/>
    <col min="6673" max="6673" width="19.5703125" style="3" customWidth="1"/>
    <col min="6674" max="6674" width="23.5703125" style="3" customWidth="1"/>
    <col min="6675" max="6675" width="16.28515625" style="3" customWidth="1"/>
    <col min="6676" max="6676" width="14.28515625" style="3" customWidth="1"/>
    <col min="6677" max="6677" width="14.140625" style="3" customWidth="1"/>
    <col min="6678" max="6678" width="17.42578125" style="3" customWidth="1"/>
    <col min="6679" max="6679" width="19.28515625" style="3" customWidth="1"/>
    <col min="6680" max="6680" width="17.7109375" style="3" customWidth="1"/>
    <col min="6681" max="6681" width="21.85546875" style="3" customWidth="1"/>
    <col min="6682" max="6682" width="11.140625" style="3" customWidth="1"/>
    <col min="6683" max="6683" width="9.28515625" style="3" customWidth="1"/>
    <col min="6684" max="6684" width="12.5703125" style="3" customWidth="1"/>
    <col min="6685" max="6685" width="13.5703125" style="3" customWidth="1"/>
    <col min="6686" max="6686" width="18" style="3" customWidth="1"/>
    <col min="6687" max="6687" width="14.85546875" style="3" customWidth="1"/>
    <col min="6688" max="6688" width="10.85546875" style="3" customWidth="1"/>
    <col min="6689" max="6690" width="9.28515625" style="3" customWidth="1"/>
    <col min="6691" max="6691" width="11.42578125" style="3" customWidth="1"/>
    <col min="6692" max="6694" width="9.140625" style="3"/>
    <col min="6695" max="6695" width="16" style="3" customWidth="1"/>
    <col min="6696" max="6697" width="21" style="3" customWidth="1"/>
    <col min="6698" max="6698" width="22.140625" style="3" customWidth="1"/>
    <col min="6699" max="6699" width="19" style="3" customWidth="1"/>
    <col min="6700" max="6701" width="17.28515625" style="3" customWidth="1"/>
    <col min="6702" max="6702" width="18.85546875" style="3" customWidth="1"/>
    <col min="6703" max="6703" width="20" style="3" customWidth="1"/>
    <col min="6704" max="6912" width="9.140625" style="3"/>
    <col min="6913" max="6913" width="8.85546875" style="3" customWidth="1"/>
    <col min="6914" max="6914" width="13.85546875" style="3" customWidth="1"/>
    <col min="6915" max="6915" width="21.140625" style="3" customWidth="1"/>
    <col min="6916" max="6916" width="22.85546875" style="3" customWidth="1"/>
    <col min="6917" max="6917" width="19.85546875" style="3" customWidth="1"/>
    <col min="6918" max="6918" width="17.5703125" style="3" customWidth="1"/>
    <col min="6919" max="6919" width="15.140625" style="3" customWidth="1"/>
    <col min="6920" max="6920" width="19.28515625" style="3" customWidth="1"/>
    <col min="6921" max="6921" width="15.85546875" style="3" customWidth="1"/>
    <col min="6922" max="6922" width="19.7109375" style="3" customWidth="1"/>
    <col min="6923" max="6923" width="18.85546875" style="3" customWidth="1"/>
    <col min="6924" max="6924" width="19.7109375" style="3" customWidth="1"/>
    <col min="6925" max="6925" width="7.28515625" style="3" customWidth="1"/>
    <col min="6926" max="6926" width="12.85546875" style="3" customWidth="1"/>
    <col min="6927" max="6927" width="9.5703125" style="3" customWidth="1"/>
    <col min="6928" max="6928" width="20" style="3" customWidth="1"/>
    <col min="6929" max="6929" width="19.5703125" style="3" customWidth="1"/>
    <col min="6930" max="6930" width="23.5703125" style="3" customWidth="1"/>
    <col min="6931" max="6931" width="16.28515625" style="3" customWidth="1"/>
    <col min="6932" max="6932" width="14.28515625" style="3" customWidth="1"/>
    <col min="6933" max="6933" width="14.140625" style="3" customWidth="1"/>
    <col min="6934" max="6934" width="17.42578125" style="3" customWidth="1"/>
    <col min="6935" max="6935" width="19.28515625" style="3" customWidth="1"/>
    <col min="6936" max="6936" width="17.7109375" style="3" customWidth="1"/>
    <col min="6937" max="6937" width="21.85546875" style="3" customWidth="1"/>
    <col min="6938" max="6938" width="11.140625" style="3" customWidth="1"/>
    <col min="6939" max="6939" width="9.28515625" style="3" customWidth="1"/>
    <col min="6940" max="6940" width="12.5703125" style="3" customWidth="1"/>
    <col min="6941" max="6941" width="13.5703125" style="3" customWidth="1"/>
    <col min="6942" max="6942" width="18" style="3" customWidth="1"/>
    <col min="6943" max="6943" width="14.85546875" style="3" customWidth="1"/>
    <col min="6944" max="6944" width="10.85546875" style="3" customWidth="1"/>
    <col min="6945" max="6946" width="9.28515625" style="3" customWidth="1"/>
    <col min="6947" max="6947" width="11.42578125" style="3" customWidth="1"/>
    <col min="6948" max="6950" width="9.140625" style="3"/>
    <col min="6951" max="6951" width="16" style="3" customWidth="1"/>
    <col min="6952" max="6953" width="21" style="3" customWidth="1"/>
    <col min="6954" max="6954" width="22.140625" style="3" customWidth="1"/>
    <col min="6955" max="6955" width="19" style="3" customWidth="1"/>
    <col min="6956" max="6957" width="17.28515625" style="3" customWidth="1"/>
    <col min="6958" max="6958" width="18.85546875" style="3" customWidth="1"/>
    <col min="6959" max="6959" width="20" style="3" customWidth="1"/>
    <col min="6960" max="7168" width="9.140625" style="3"/>
    <col min="7169" max="7169" width="8.85546875" style="3" customWidth="1"/>
    <col min="7170" max="7170" width="13.85546875" style="3" customWidth="1"/>
    <col min="7171" max="7171" width="21.140625" style="3" customWidth="1"/>
    <col min="7172" max="7172" width="22.85546875" style="3" customWidth="1"/>
    <col min="7173" max="7173" width="19.85546875" style="3" customWidth="1"/>
    <col min="7174" max="7174" width="17.5703125" style="3" customWidth="1"/>
    <col min="7175" max="7175" width="15.140625" style="3" customWidth="1"/>
    <col min="7176" max="7176" width="19.28515625" style="3" customWidth="1"/>
    <col min="7177" max="7177" width="15.85546875" style="3" customWidth="1"/>
    <col min="7178" max="7178" width="19.7109375" style="3" customWidth="1"/>
    <col min="7179" max="7179" width="18.85546875" style="3" customWidth="1"/>
    <col min="7180" max="7180" width="19.7109375" style="3" customWidth="1"/>
    <col min="7181" max="7181" width="7.28515625" style="3" customWidth="1"/>
    <col min="7182" max="7182" width="12.85546875" style="3" customWidth="1"/>
    <col min="7183" max="7183" width="9.5703125" style="3" customWidth="1"/>
    <col min="7184" max="7184" width="20" style="3" customWidth="1"/>
    <col min="7185" max="7185" width="19.5703125" style="3" customWidth="1"/>
    <col min="7186" max="7186" width="23.5703125" style="3" customWidth="1"/>
    <col min="7187" max="7187" width="16.28515625" style="3" customWidth="1"/>
    <col min="7188" max="7188" width="14.28515625" style="3" customWidth="1"/>
    <col min="7189" max="7189" width="14.140625" style="3" customWidth="1"/>
    <col min="7190" max="7190" width="17.42578125" style="3" customWidth="1"/>
    <col min="7191" max="7191" width="19.28515625" style="3" customWidth="1"/>
    <col min="7192" max="7192" width="17.7109375" style="3" customWidth="1"/>
    <col min="7193" max="7193" width="21.85546875" style="3" customWidth="1"/>
    <col min="7194" max="7194" width="11.140625" style="3" customWidth="1"/>
    <col min="7195" max="7195" width="9.28515625" style="3" customWidth="1"/>
    <col min="7196" max="7196" width="12.5703125" style="3" customWidth="1"/>
    <col min="7197" max="7197" width="13.5703125" style="3" customWidth="1"/>
    <col min="7198" max="7198" width="18" style="3" customWidth="1"/>
    <col min="7199" max="7199" width="14.85546875" style="3" customWidth="1"/>
    <col min="7200" max="7200" width="10.85546875" style="3" customWidth="1"/>
    <col min="7201" max="7202" width="9.28515625" style="3" customWidth="1"/>
    <col min="7203" max="7203" width="11.42578125" style="3" customWidth="1"/>
    <col min="7204" max="7206" width="9.140625" style="3"/>
    <col min="7207" max="7207" width="16" style="3" customWidth="1"/>
    <col min="7208" max="7209" width="21" style="3" customWidth="1"/>
    <col min="7210" max="7210" width="22.140625" style="3" customWidth="1"/>
    <col min="7211" max="7211" width="19" style="3" customWidth="1"/>
    <col min="7212" max="7213" width="17.28515625" style="3" customWidth="1"/>
    <col min="7214" max="7214" width="18.85546875" style="3" customWidth="1"/>
    <col min="7215" max="7215" width="20" style="3" customWidth="1"/>
    <col min="7216" max="7424" width="9.140625" style="3"/>
    <col min="7425" max="7425" width="8.85546875" style="3" customWidth="1"/>
    <col min="7426" max="7426" width="13.85546875" style="3" customWidth="1"/>
    <col min="7427" max="7427" width="21.140625" style="3" customWidth="1"/>
    <col min="7428" max="7428" width="22.85546875" style="3" customWidth="1"/>
    <col min="7429" max="7429" width="19.85546875" style="3" customWidth="1"/>
    <col min="7430" max="7430" width="17.5703125" style="3" customWidth="1"/>
    <col min="7431" max="7431" width="15.140625" style="3" customWidth="1"/>
    <col min="7432" max="7432" width="19.28515625" style="3" customWidth="1"/>
    <col min="7433" max="7433" width="15.85546875" style="3" customWidth="1"/>
    <col min="7434" max="7434" width="19.7109375" style="3" customWidth="1"/>
    <col min="7435" max="7435" width="18.85546875" style="3" customWidth="1"/>
    <col min="7436" max="7436" width="19.7109375" style="3" customWidth="1"/>
    <col min="7437" max="7437" width="7.28515625" style="3" customWidth="1"/>
    <col min="7438" max="7438" width="12.85546875" style="3" customWidth="1"/>
    <col min="7439" max="7439" width="9.5703125" style="3" customWidth="1"/>
    <col min="7440" max="7440" width="20" style="3" customWidth="1"/>
    <col min="7441" max="7441" width="19.5703125" style="3" customWidth="1"/>
    <col min="7442" max="7442" width="23.5703125" style="3" customWidth="1"/>
    <col min="7443" max="7443" width="16.28515625" style="3" customWidth="1"/>
    <col min="7444" max="7444" width="14.28515625" style="3" customWidth="1"/>
    <col min="7445" max="7445" width="14.140625" style="3" customWidth="1"/>
    <col min="7446" max="7446" width="17.42578125" style="3" customWidth="1"/>
    <col min="7447" max="7447" width="19.28515625" style="3" customWidth="1"/>
    <col min="7448" max="7448" width="17.7109375" style="3" customWidth="1"/>
    <col min="7449" max="7449" width="21.85546875" style="3" customWidth="1"/>
    <col min="7450" max="7450" width="11.140625" style="3" customWidth="1"/>
    <col min="7451" max="7451" width="9.28515625" style="3" customWidth="1"/>
    <col min="7452" max="7452" width="12.5703125" style="3" customWidth="1"/>
    <col min="7453" max="7453" width="13.5703125" style="3" customWidth="1"/>
    <col min="7454" max="7454" width="18" style="3" customWidth="1"/>
    <col min="7455" max="7455" width="14.85546875" style="3" customWidth="1"/>
    <col min="7456" max="7456" width="10.85546875" style="3" customWidth="1"/>
    <col min="7457" max="7458" width="9.28515625" style="3" customWidth="1"/>
    <col min="7459" max="7459" width="11.42578125" style="3" customWidth="1"/>
    <col min="7460" max="7462" width="9.140625" style="3"/>
    <col min="7463" max="7463" width="16" style="3" customWidth="1"/>
    <col min="7464" max="7465" width="21" style="3" customWidth="1"/>
    <col min="7466" max="7466" width="22.140625" style="3" customWidth="1"/>
    <col min="7467" max="7467" width="19" style="3" customWidth="1"/>
    <col min="7468" max="7469" width="17.28515625" style="3" customWidth="1"/>
    <col min="7470" max="7470" width="18.85546875" style="3" customWidth="1"/>
    <col min="7471" max="7471" width="20" style="3" customWidth="1"/>
    <col min="7472" max="7680" width="9.140625" style="3"/>
    <col min="7681" max="7681" width="8.85546875" style="3" customWidth="1"/>
    <col min="7682" max="7682" width="13.85546875" style="3" customWidth="1"/>
    <col min="7683" max="7683" width="21.140625" style="3" customWidth="1"/>
    <col min="7684" max="7684" width="22.85546875" style="3" customWidth="1"/>
    <col min="7685" max="7685" width="19.85546875" style="3" customWidth="1"/>
    <col min="7686" max="7686" width="17.5703125" style="3" customWidth="1"/>
    <col min="7687" max="7687" width="15.140625" style="3" customWidth="1"/>
    <col min="7688" max="7688" width="19.28515625" style="3" customWidth="1"/>
    <col min="7689" max="7689" width="15.85546875" style="3" customWidth="1"/>
    <col min="7690" max="7690" width="19.7109375" style="3" customWidth="1"/>
    <col min="7691" max="7691" width="18.85546875" style="3" customWidth="1"/>
    <col min="7692" max="7692" width="19.7109375" style="3" customWidth="1"/>
    <col min="7693" max="7693" width="7.28515625" style="3" customWidth="1"/>
    <col min="7694" max="7694" width="12.85546875" style="3" customWidth="1"/>
    <col min="7695" max="7695" width="9.5703125" style="3" customWidth="1"/>
    <col min="7696" max="7696" width="20" style="3" customWidth="1"/>
    <col min="7697" max="7697" width="19.5703125" style="3" customWidth="1"/>
    <col min="7698" max="7698" width="23.5703125" style="3" customWidth="1"/>
    <col min="7699" max="7699" width="16.28515625" style="3" customWidth="1"/>
    <col min="7700" max="7700" width="14.28515625" style="3" customWidth="1"/>
    <col min="7701" max="7701" width="14.140625" style="3" customWidth="1"/>
    <col min="7702" max="7702" width="17.42578125" style="3" customWidth="1"/>
    <col min="7703" max="7703" width="19.28515625" style="3" customWidth="1"/>
    <col min="7704" max="7704" width="17.7109375" style="3" customWidth="1"/>
    <col min="7705" max="7705" width="21.85546875" style="3" customWidth="1"/>
    <col min="7706" max="7706" width="11.140625" style="3" customWidth="1"/>
    <col min="7707" max="7707" width="9.28515625" style="3" customWidth="1"/>
    <col min="7708" max="7708" width="12.5703125" style="3" customWidth="1"/>
    <col min="7709" max="7709" width="13.5703125" style="3" customWidth="1"/>
    <col min="7710" max="7710" width="18" style="3" customWidth="1"/>
    <col min="7711" max="7711" width="14.85546875" style="3" customWidth="1"/>
    <col min="7712" max="7712" width="10.85546875" style="3" customWidth="1"/>
    <col min="7713" max="7714" width="9.28515625" style="3" customWidth="1"/>
    <col min="7715" max="7715" width="11.42578125" style="3" customWidth="1"/>
    <col min="7716" max="7718" width="9.140625" style="3"/>
    <col min="7719" max="7719" width="16" style="3" customWidth="1"/>
    <col min="7720" max="7721" width="21" style="3" customWidth="1"/>
    <col min="7722" max="7722" width="22.140625" style="3" customWidth="1"/>
    <col min="7723" max="7723" width="19" style="3" customWidth="1"/>
    <col min="7724" max="7725" width="17.28515625" style="3" customWidth="1"/>
    <col min="7726" max="7726" width="18.85546875" style="3" customWidth="1"/>
    <col min="7727" max="7727" width="20" style="3" customWidth="1"/>
    <col min="7728" max="7936" width="9.140625" style="3"/>
    <col min="7937" max="7937" width="8.85546875" style="3" customWidth="1"/>
    <col min="7938" max="7938" width="13.85546875" style="3" customWidth="1"/>
    <col min="7939" max="7939" width="21.140625" style="3" customWidth="1"/>
    <col min="7940" max="7940" width="22.85546875" style="3" customWidth="1"/>
    <col min="7941" max="7941" width="19.85546875" style="3" customWidth="1"/>
    <col min="7942" max="7942" width="17.5703125" style="3" customWidth="1"/>
    <col min="7943" max="7943" width="15.140625" style="3" customWidth="1"/>
    <col min="7944" max="7944" width="19.28515625" style="3" customWidth="1"/>
    <col min="7945" max="7945" width="15.85546875" style="3" customWidth="1"/>
    <col min="7946" max="7946" width="19.7109375" style="3" customWidth="1"/>
    <col min="7947" max="7947" width="18.85546875" style="3" customWidth="1"/>
    <col min="7948" max="7948" width="19.7109375" style="3" customWidth="1"/>
    <col min="7949" max="7949" width="7.28515625" style="3" customWidth="1"/>
    <col min="7950" max="7950" width="12.85546875" style="3" customWidth="1"/>
    <col min="7951" max="7951" width="9.5703125" style="3" customWidth="1"/>
    <col min="7952" max="7952" width="20" style="3" customWidth="1"/>
    <col min="7953" max="7953" width="19.5703125" style="3" customWidth="1"/>
    <col min="7954" max="7954" width="23.5703125" style="3" customWidth="1"/>
    <col min="7955" max="7955" width="16.28515625" style="3" customWidth="1"/>
    <col min="7956" max="7956" width="14.28515625" style="3" customWidth="1"/>
    <col min="7957" max="7957" width="14.140625" style="3" customWidth="1"/>
    <col min="7958" max="7958" width="17.42578125" style="3" customWidth="1"/>
    <col min="7959" max="7959" width="19.28515625" style="3" customWidth="1"/>
    <col min="7960" max="7960" width="17.7109375" style="3" customWidth="1"/>
    <col min="7961" max="7961" width="21.85546875" style="3" customWidth="1"/>
    <col min="7962" max="7962" width="11.140625" style="3" customWidth="1"/>
    <col min="7963" max="7963" width="9.28515625" style="3" customWidth="1"/>
    <col min="7964" max="7964" width="12.5703125" style="3" customWidth="1"/>
    <col min="7965" max="7965" width="13.5703125" style="3" customWidth="1"/>
    <col min="7966" max="7966" width="18" style="3" customWidth="1"/>
    <col min="7967" max="7967" width="14.85546875" style="3" customWidth="1"/>
    <col min="7968" max="7968" width="10.85546875" style="3" customWidth="1"/>
    <col min="7969" max="7970" width="9.28515625" style="3" customWidth="1"/>
    <col min="7971" max="7971" width="11.42578125" style="3" customWidth="1"/>
    <col min="7972" max="7974" width="9.140625" style="3"/>
    <col min="7975" max="7975" width="16" style="3" customWidth="1"/>
    <col min="7976" max="7977" width="21" style="3" customWidth="1"/>
    <col min="7978" max="7978" width="22.140625" style="3" customWidth="1"/>
    <col min="7979" max="7979" width="19" style="3" customWidth="1"/>
    <col min="7980" max="7981" width="17.28515625" style="3" customWidth="1"/>
    <col min="7982" max="7982" width="18.85546875" style="3" customWidth="1"/>
    <col min="7983" max="7983" width="20" style="3" customWidth="1"/>
    <col min="7984" max="8192" width="9.140625" style="3"/>
    <col min="8193" max="8193" width="8.85546875" style="3" customWidth="1"/>
    <col min="8194" max="8194" width="13.85546875" style="3" customWidth="1"/>
    <col min="8195" max="8195" width="21.140625" style="3" customWidth="1"/>
    <col min="8196" max="8196" width="22.85546875" style="3" customWidth="1"/>
    <col min="8197" max="8197" width="19.85546875" style="3" customWidth="1"/>
    <col min="8198" max="8198" width="17.5703125" style="3" customWidth="1"/>
    <col min="8199" max="8199" width="15.140625" style="3" customWidth="1"/>
    <col min="8200" max="8200" width="19.28515625" style="3" customWidth="1"/>
    <col min="8201" max="8201" width="15.85546875" style="3" customWidth="1"/>
    <col min="8202" max="8202" width="19.7109375" style="3" customWidth="1"/>
    <col min="8203" max="8203" width="18.85546875" style="3" customWidth="1"/>
    <col min="8204" max="8204" width="19.7109375" style="3" customWidth="1"/>
    <col min="8205" max="8205" width="7.28515625" style="3" customWidth="1"/>
    <col min="8206" max="8206" width="12.85546875" style="3" customWidth="1"/>
    <col min="8207" max="8207" width="9.5703125" style="3" customWidth="1"/>
    <col min="8208" max="8208" width="20" style="3" customWidth="1"/>
    <col min="8209" max="8209" width="19.5703125" style="3" customWidth="1"/>
    <col min="8210" max="8210" width="23.5703125" style="3" customWidth="1"/>
    <col min="8211" max="8211" width="16.28515625" style="3" customWidth="1"/>
    <col min="8212" max="8212" width="14.28515625" style="3" customWidth="1"/>
    <col min="8213" max="8213" width="14.140625" style="3" customWidth="1"/>
    <col min="8214" max="8214" width="17.42578125" style="3" customWidth="1"/>
    <col min="8215" max="8215" width="19.28515625" style="3" customWidth="1"/>
    <col min="8216" max="8216" width="17.7109375" style="3" customWidth="1"/>
    <col min="8217" max="8217" width="21.85546875" style="3" customWidth="1"/>
    <col min="8218" max="8218" width="11.140625" style="3" customWidth="1"/>
    <col min="8219" max="8219" width="9.28515625" style="3" customWidth="1"/>
    <col min="8220" max="8220" width="12.5703125" style="3" customWidth="1"/>
    <col min="8221" max="8221" width="13.5703125" style="3" customWidth="1"/>
    <col min="8222" max="8222" width="18" style="3" customWidth="1"/>
    <col min="8223" max="8223" width="14.85546875" style="3" customWidth="1"/>
    <col min="8224" max="8224" width="10.85546875" style="3" customWidth="1"/>
    <col min="8225" max="8226" width="9.28515625" style="3" customWidth="1"/>
    <col min="8227" max="8227" width="11.42578125" style="3" customWidth="1"/>
    <col min="8228" max="8230" width="9.140625" style="3"/>
    <col min="8231" max="8231" width="16" style="3" customWidth="1"/>
    <col min="8232" max="8233" width="21" style="3" customWidth="1"/>
    <col min="8234" max="8234" width="22.140625" style="3" customWidth="1"/>
    <col min="8235" max="8235" width="19" style="3" customWidth="1"/>
    <col min="8236" max="8237" width="17.28515625" style="3" customWidth="1"/>
    <col min="8238" max="8238" width="18.85546875" style="3" customWidth="1"/>
    <col min="8239" max="8239" width="20" style="3" customWidth="1"/>
    <col min="8240" max="8448" width="9.140625" style="3"/>
    <col min="8449" max="8449" width="8.85546875" style="3" customWidth="1"/>
    <col min="8450" max="8450" width="13.85546875" style="3" customWidth="1"/>
    <col min="8451" max="8451" width="21.140625" style="3" customWidth="1"/>
    <col min="8452" max="8452" width="22.85546875" style="3" customWidth="1"/>
    <col min="8453" max="8453" width="19.85546875" style="3" customWidth="1"/>
    <col min="8454" max="8454" width="17.5703125" style="3" customWidth="1"/>
    <col min="8455" max="8455" width="15.140625" style="3" customWidth="1"/>
    <col min="8456" max="8456" width="19.28515625" style="3" customWidth="1"/>
    <col min="8457" max="8457" width="15.85546875" style="3" customWidth="1"/>
    <col min="8458" max="8458" width="19.7109375" style="3" customWidth="1"/>
    <col min="8459" max="8459" width="18.85546875" style="3" customWidth="1"/>
    <col min="8460" max="8460" width="19.7109375" style="3" customWidth="1"/>
    <col min="8461" max="8461" width="7.28515625" style="3" customWidth="1"/>
    <col min="8462" max="8462" width="12.85546875" style="3" customWidth="1"/>
    <col min="8463" max="8463" width="9.5703125" style="3" customWidth="1"/>
    <col min="8464" max="8464" width="20" style="3" customWidth="1"/>
    <col min="8465" max="8465" width="19.5703125" style="3" customWidth="1"/>
    <col min="8466" max="8466" width="23.5703125" style="3" customWidth="1"/>
    <col min="8467" max="8467" width="16.28515625" style="3" customWidth="1"/>
    <col min="8468" max="8468" width="14.28515625" style="3" customWidth="1"/>
    <col min="8469" max="8469" width="14.140625" style="3" customWidth="1"/>
    <col min="8470" max="8470" width="17.42578125" style="3" customWidth="1"/>
    <col min="8471" max="8471" width="19.28515625" style="3" customWidth="1"/>
    <col min="8472" max="8472" width="17.7109375" style="3" customWidth="1"/>
    <col min="8473" max="8473" width="21.85546875" style="3" customWidth="1"/>
    <col min="8474" max="8474" width="11.140625" style="3" customWidth="1"/>
    <col min="8475" max="8475" width="9.28515625" style="3" customWidth="1"/>
    <col min="8476" max="8476" width="12.5703125" style="3" customWidth="1"/>
    <col min="8477" max="8477" width="13.5703125" style="3" customWidth="1"/>
    <col min="8478" max="8478" width="18" style="3" customWidth="1"/>
    <col min="8479" max="8479" width="14.85546875" style="3" customWidth="1"/>
    <col min="8480" max="8480" width="10.85546875" style="3" customWidth="1"/>
    <col min="8481" max="8482" width="9.28515625" style="3" customWidth="1"/>
    <col min="8483" max="8483" width="11.42578125" style="3" customWidth="1"/>
    <col min="8484" max="8486" width="9.140625" style="3"/>
    <col min="8487" max="8487" width="16" style="3" customWidth="1"/>
    <col min="8488" max="8489" width="21" style="3" customWidth="1"/>
    <col min="8490" max="8490" width="22.140625" style="3" customWidth="1"/>
    <col min="8491" max="8491" width="19" style="3" customWidth="1"/>
    <col min="8492" max="8493" width="17.28515625" style="3" customWidth="1"/>
    <col min="8494" max="8494" width="18.85546875" style="3" customWidth="1"/>
    <col min="8495" max="8495" width="20" style="3" customWidth="1"/>
    <col min="8496" max="8704" width="9.140625" style="3"/>
    <col min="8705" max="8705" width="8.85546875" style="3" customWidth="1"/>
    <col min="8706" max="8706" width="13.85546875" style="3" customWidth="1"/>
    <col min="8707" max="8707" width="21.140625" style="3" customWidth="1"/>
    <col min="8708" max="8708" width="22.85546875" style="3" customWidth="1"/>
    <col min="8709" max="8709" width="19.85546875" style="3" customWidth="1"/>
    <col min="8710" max="8710" width="17.5703125" style="3" customWidth="1"/>
    <col min="8711" max="8711" width="15.140625" style="3" customWidth="1"/>
    <col min="8712" max="8712" width="19.28515625" style="3" customWidth="1"/>
    <col min="8713" max="8713" width="15.85546875" style="3" customWidth="1"/>
    <col min="8714" max="8714" width="19.7109375" style="3" customWidth="1"/>
    <col min="8715" max="8715" width="18.85546875" style="3" customWidth="1"/>
    <col min="8716" max="8716" width="19.7109375" style="3" customWidth="1"/>
    <col min="8717" max="8717" width="7.28515625" style="3" customWidth="1"/>
    <col min="8718" max="8718" width="12.85546875" style="3" customWidth="1"/>
    <col min="8719" max="8719" width="9.5703125" style="3" customWidth="1"/>
    <col min="8720" max="8720" width="20" style="3" customWidth="1"/>
    <col min="8721" max="8721" width="19.5703125" style="3" customWidth="1"/>
    <col min="8722" max="8722" width="23.5703125" style="3" customWidth="1"/>
    <col min="8723" max="8723" width="16.28515625" style="3" customWidth="1"/>
    <col min="8724" max="8724" width="14.28515625" style="3" customWidth="1"/>
    <col min="8725" max="8725" width="14.140625" style="3" customWidth="1"/>
    <col min="8726" max="8726" width="17.42578125" style="3" customWidth="1"/>
    <col min="8727" max="8727" width="19.28515625" style="3" customWidth="1"/>
    <col min="8728" max="8728" width="17.7109375" style="3" customWidth="1"/>
    <col min="8729" max="8729" width="21.85546875" style="3" customWidth="1"/>
    <col min="8730" max="8730" width="11.140625" style="3" customWidth="1"/>
    <col min="8731" max="8731" width="9.28515625" style="3" customWidth="1"/>
    <col min="8732" max="8732" width="12.5703125" style="3" customWidth="1"/>
    <col min="8733" max="8733" width="13.5703125" style="3" customWidth="1"/>
    <col min="8734" max="8734" width="18" style="3" customWidth="1"/>
    <col min="8735" max="8735" width="14.85546875" style="3" customWidth="1"/>
    <col min="8736" max="8736" width="10.85546875" style="3" customWidth="1"/>
    <col min="8737" max="8738" width="9.28515625" style="3" customWidth="1"/>
    <col min="8739" max="8739" width="11.42578125" style="3" customWidth="1"/>
    <col min="8740" max="8742" width="9.140625" style="3"/>
    <col min="8743" max="8743" width="16" style="3" customWidth="1"/>
    <col min="8744" max="8745" width="21" style="3" customWidth="1"/>
    <col min="8746" max="8746" width="22.140625" style="3" customWidth="1"/>
    <col min="8747" max="8747" width="19" style="3" customWidth="1"/>
    <col min="8748" max="8749" width="17.28515625" style="3" customWidth="1"/>
    <col min="8750" max="8750" width="18.85546875" style="3" customWidth="1"/>
    <col min="8751" max="8751" width="20" style="3" customWidth="1"/>
    <col min="8752" max="8960" width="9.140625" style="3"/>
    <col min="8961" max="8961" width="8.85546875" style="3" customWidth="1"/>
    <col min="8962" max="8962" width="13.85546875" style="3" customWidth="1"/>
    <col min="8963" max="8963" width="21.140625" style="3" customWidth="1"/>
    <col min="8964" max="8964" width="22.85546875" style="3" customWidth="1"/>
    <col min="8965" max="8965" width="19.85546875" style="3" customWidth="1"/>
    <col min="8966" max="8966" width="17.5703125" style="3" customWidth="1"/>
    <col min="8967" max="8967" width="15.140625" style="3" customWidth="1"/>
    <col min="8968" max="8968" width="19.28515625" style="3" customWidth="1"/>
    <col min="8969" max="8969" width="15.85546875" style="3" customWidth="1"/>
    <col min="8970" max="8970" width="19.7109375" style="3" customWidth="1"/>
    <col min="8971" max="8971" width="18.85546875" style="3" customWidth="1"/>
    <col min="8972" max="8972" width="19.7109375" style="3" customWidth="1"/>
    <col min="8973" max="8973" width="7.28515625" style="3" customWidth="1"/>
    <col min="8974" max="8974" width="12.85546875" style="3" customWidth="1"/>
    <col min="8975" max="8975" width="9.5703125" style="3" customWidth="1"/>
    <col min="8976" max="8976" width="20" style="3" customWidth="1"/>
    <col min="8977" max="8977" width="19.5703125" style="3" customWidth="1"/>
    <col min="8978" max="8978" width="23.5703125" style="3" customWidth="1"/>
    <col min="8979" max="8979" width="16.28515625" style="3" customWidth="1"/>
    <col min="8980" max="8980" width="14.28515625" style="3" customWidth="1"/>
    <col min="8981" max="8981" width="14.140625" style="3" customWidth="1"/>
    <col min="8982" max="8982" width="17.42578125" style="3" customWidth="1"/>
    <col min="8983" max="8983" width="19.28515625" style="3" customWidth="1"/>
    <col min="8984" max="8984" width="17.7109375" style="3" customWidth="1"/>
    <col min="8985" max="8985" width="21.85546875" style="3" customWidth="1"/>
    <col min="8986" max="8986" width="11.140625" style="3" customWidth="1"/>
    <col min="8987" max="8987" width="9.28515625" style="3" customWidth="1"/>
    <col min="8988" max="8988" width="12.5703125" style="3" customWidth="1"/>
    <col min="8989" max="8989" width="13.5703125" style="3" customWidth="1"/>
    <col min="8990" max="8990" width="18" style="3" customWidth="1"/>
    <col min="8991" max="8991" width="14.85546875" style="3" customWidth="1"/>
    <col min="8992" max="8992" width="10.85546875" style="3" customWidth="1"/>
    <col min="8993" max="8994" width="9.28515625" style="3" customWidth="1"/>
    <col min="8995" max="8995" width="11.42578125" style="3" customWidth="1"/>
    <col min="8996" max="8998" width="9.140625" style="3"/>
    <col min="8999" max="8999" width="16" style="3" customWidth="1"/>
    <col min="9000" max="9001" width="21" style="3" customWidth="1"/>
    <col min="9002" max="9002" width="22.140625" style="3" customWidth="1"/>
    <col min="9003" max="9003" width="19" style="3" customWidth="1"/>
    <col min="9004" max="9005" width="17.28515625" style="3" customWidth="1"/>
    <col min="9006" max="9006" width="18.85546875" style="3" customWidth="1"/>
    <col min="9007" max="9007" width="20" style="3" customWidth="1"/>
    <col min="9008" max="9216" width="9.140625" style="3"/>
    <col min="9217" max="9217" width="8.85546875" style="3" customWidth="1"/>
    <col min="9218" max="9218" width="13.85546875" style="3" customWidth="1"/>
    <col min="9219" max="9219" width="21.140625" style="3" customWidth="1"/>
    <col min="9220" max="9220" width="22.85546875" style="3" customWidth="1"/>
    <col min="9221" max="9221" width="19.85546875" style="3" customWidth="1"/>
    <col min="9222" max="9222" width="17.5703125" style="3" customWidth="1"/>
    <col min="9223" max="9223" width="15.140625" style="3" customWidth="1"/>
    <col min="9224" max="9224" width="19.28515625" style="3" customWidth="1"/>
    <col min="9225" max="9225" width="15.85546875" style="3" customWidth="1"/>
    <col min="9226" max="9226" width="19.7109375" style="3" customWidth="1"/>
    <col min="9227" max="9227" width="18.85546875" style="3" customWidth="1"/>
    <col min="9228" max="9228" width="19.7109375" style="3" customWidth="1"/>
    <col min="9229" max="9229" width="7.28515625" style="3" customWidth="1"/>
    <col min="9230" max="9230" width="12.85546875" style="3" customWidth="1"/>
    <col min="9231" max="9231" width="9.5703125" style="3" customWidth="1"/>
    <col min="9232" max="9232" width="20" style="3" customWidth="1"/>
    <col min="9233" max="9233" width="19.5703125" style="3" customWidth="1"/>
    <col min="9234" max="9234" width="23.5703125" style="3" customWidth="1"/>
    <col min="9235" max="9235" width="16.28515625" style="3" customWidth="1"/>
    <col min="9236" max="9236" width="14.28515625" style="3" customWidth="1"/>
    <col min="9237" max="9237" width="14.140625" style="3" customWidth="1"/>
    <col min="9238" max="9238" width="17.42578125" style="3" customWidth="1"/>
    <col min="9239" max="9239" width="19.28515625" style="3" customWidth="1"/>
    <col min="9240" max="9240" width="17.7109375" style="3" customWidth="1"/>
    <col min="9241" max="9241" width="21.85546875" style="3" customWidth="1"/>
    <col min="9242" max="9242" width="11.140625" style="3" customWidth="1"/>
    <col min="9243" max="9243" width="9.28515625" style="3" customWidth="1"/>
    <col min="9244" max="9244" width="12.5703125" style="3" customWidth="1"/>
    <col min="9245" max="9245" width="13.5703125" style="3" customWidth="1"/>
    <col min="9246" max="9246" width="18" style="3" customWidth="1"/>
    <col min="9247" max="9247" width="14.85546875" style="3" customWidth="1"/>
    <col min="9248" max="9248" width="10.85546875" style="3" customWidth="1"/>
    <col min="9249" max="9250" width="9.28515625" style="3" customWidth="1"/>
    <col min="9251" max="9251" width="11.42578125" style="3" customWidth="1"/>
    <col min="9252" max="9254" width="9.140625" style="3"/>
    <col min="9255" max="9255" width="16" style="3" customWidth="1"/>
    <col min="9256" max="9257" width="21" style="3" customWidth="1"/>
    <col min="9258" max="9258" width="22.140625" style="3" customWidth="1"/>
    <col min="9259" max="9259" width="19" style="3" customWidth="1"/>
    <col min="9260" max="9261" width="17.28515625" style="3" customWidth="1"/>
    <col min="9262" max="9262" width="18.85546875" style="3" customWidth="1"/>
    <col min="9263" max="9263" width="20" style="3" customWidth="1"/>
    <col min="9264" max="9472" width="9.140625" style="3"/>
    <col min="9473" max="9473" width="8.85546875" style="3" customWidth="1"/>
    <col min="9474" max="9474" width="13.85546875" style="3" customWidth="1"/>
    <col min="9475" max="9475" width="21.140625" style="3" customWidth="1"/>
    <col min="9476" max="9476" width="22.85546875" style="3" customWidth="1"/>
    <col min="9477" max="9477" width="19.85546875" style="3" customWidth="1"/>
    <col min="9478" max="9478" width="17.5703125" style="3" customWidth="1"/>
    <col min="9479" max="9479" width="15.140625" style="3" customWidth="1"/>
    <col min="9480" max="9480" width="19.28515625" style="3" customWidth="1"/>
    <col min="9481" max="9481" width="15.85546875" style="3" customWidth="1"/>
    <col min="9482" max="9482" width="19.7109375" style="3" customWidth="1"/>
    <col min="9483" max="9483" width="18.85546875" style="3" customWidth="1"/>
    <col min="9484" max="9484" width="19.7109375" style="3" customWidth="1"/>
    <col min="9485" max="9485" width="7.28515625" style="3" customWidth="1"/>
    <col min="9486" max="9486" width="12.85546875" style="3" customWidth="1"/>
    <col min="9487" max="9487" width="9.5703125" style="3" customWidth="1"/>
    <col min="9488" max="9488" width="20" style="3" customWidth="1"/>
    <col min="9489" max="9489" width="19.5703125" style="3" customWidth="1"/>
    <col min="9490" max="9490" width="23.5703125" style="3" customWidth="1"/>
    <col min="9491" max="9491" width="16.28515625" style="3" customWidth="1"/>
    <col min="9492" max="9492" width="14.28515625" style="3" customWidth="1"/>
    <col min="9493" max="9493" width="14.140625" style="3" customWidth="1"/>
    <col min="9494" max="9494" width="17.42578125" style="3" customWidth="1"/>
    <col min="9495" max="9495" width="19.28515625" style="3" customWidth="1"/>
    <col min="9496" max="9496" width="17.7109375" style="3" customWidth="1"/>
    <col min="9497" max="9497" width="21.85546875" style="3" customWidth="1"/>
    <col min="9498" max="9498" width="11.140625" style="3" customWidth="1"/>
    <col min="9499" max="9499" width="9.28515625" style="3" customWidth="1"/>
    <col min="9500" max="9500" width="12.5703125" style="3" customWidth="1"/>
    <col min="9501" max="9501" width="13.5703125" style="3" customWidth="1"/>
    <col min="9502" max="9502" width="18" style="3" customWidth="1"/>
    <col min="9503" max="9503" width="14.85546875" style="3" customWidth="1"/>
    <col min="9504" max="9504" width="10.85546875" style="3" customWidth="1"/>
    <col min="9505" max="9506" width="9.28515625" style="3" customWidth="1"/>
    <col min="9507" max="9507" width="11.42578125" style="3" customWidth="1"/>
    <col min="9508" max="9510" width="9.140625" style="3"/>
    <col min="9511" max="9511" width="16" style="3" customWidth="1"/>
    <col min="9512" max="9513" width="21" style="3" customWidth="1"/>
    <col min="9514" max="9514" width="22.140625" style="3" customWidth="1"/>
    <col min="9515" max="9515" width="19" style="3" customWidth="1"/>
    <col min="9516" max="9517" width="17.28515625" style="3" customWidth="1"/>
    <col min="9518" max="9518" width="18.85546875" style="3" customWidth="1"/>
    <col min="9519" max="9519" width="20" style="3" customWidth="1"/>
    <col min="9520" max="9728" width="9.140625" style="3"/>
    <col min="9729" max="9729" width="8.85546875" style="3" customWidth="1"/>
    <col min="9730" max="9730" width="13.85546875" style="3" customWidth="1"/>
    <col min="9731" max="9731" width="21.140625" style="3" customWidth="1"/>
    <col min="9732" max="9732" width="22.85546875" style="3" customWidth="1"/>
    <col min="9733" max="9733" width="19.85546875" style="3" customWidth="1"/>
    <col min="9734" max="9734" width="17.5703125" style="3" customWidth="1"/>
    <col min="9735" max="9735" width="15.140625" style="3" customWidth="1"/>
    <col min="9736" max="9736" width="19.28515625" style="3" customWidth="1"/>
    <col min="9737" max="9737" width="15.85546875" style="3" customWidth="1"/>
    <col min="9738" max="9738" width="19.7109375" style="3" customWidth="1"/>
    <col min="9739" max="9739" width="18.85546875" style="3" customWidth="1"/>
    <col min="9740" max="9740" width="19.7109375" style="3" customWidth="1"/>
    <col min="9741" max="9741" width="7.28515625" style="3" customWidth="1"/>
    <col min="9742" max="9742" width="12.85546875" style="3" customWidth="1"/>
    <col min="9743" max="9743" width="9.5703125" style="3" customWidth="1"/>
    <col min="9744" max="9744" width="20" style="3" customWidth="1"/>
    <col min="9745" max="9745" width="19.5703125" style="3" customWidth="1"/>
    <col min="9746" max="9746" width="23.5703125" style="3" customWidth="1"/>
    <col min="9747" max="9747" width="16.28515625" style="3" customWidth="1"/>
    <col min="9748" max="9748" width="14.28515625" style="3" customWidth="1"/>
    <col min="9749" max="9749" width="14.140625" style="3" customWidth="1"/>
    <col min="9750" max="9750" width="17.42578125" style="3" customWidth="1"/>
    <col min="9751" max="9751" width="19.28515625" style="3" customWidth="1"/>
    <col min="9752" max="9752" width="17.7109375" style="3" customWidth="1"/>
    <col min="9753" max="9753" width="21.85546875" style="3" customWidth="1"/>
    <col min="9754" max="9754" width="11.140625" style="3" customWidth="1"/>
    <col min="9755" max="9755" width="9.28515625" style="3" customWidth="1"/>
    <col min="9756" max="9756" width="12.5703125" style="3" customWidth="1"/>
    <col min="9757" max="9757" width="13.5703125" style="3" customWidth="1"/>
    <col min="9758" max="9758" width="18" style="3" customWidth="1"/>
    <col min="9759" max="9759" width="14.85546875" style="3" customWidth="1"/>
    <col min="9760" max="9760" width="10.85546875" style="3" customWidth="1"/>
    <col min="9761" max="9762" width="9.28515625" style="3" customWidth="1"/>
    <col min="9763" max="9763" width="11.42578125" style="3" customWidth="1"/>
    <col min="9764" max="9766" width="9.140625" style="3"/>
    <col min="9767" max="9767" width="16" style="3" customWidth="1"/>
    <col min="9768" max="9769" width="21" style="3" customWidth="1"/>
    <col min="9770" max="9770" width="22.140625" style="3" customWidth="1"/>
    <col min="9771" max="9771" width="19" style="3" customWidth="1"/>
    <col min="9772" max="9773" width="17.28515625" style="3" customWidth="1"/>
    <col min="9774" max="9774" width="18.85546875" style="3" customWidth="1"/>
    <col min="9775" max="9775" width="20" style="3" customWidth="1"/>
    <col min="9776" max="9984" width="9.140625" style="3"/>
    <col min="9985" max="9985" width="8.85546875" style="3" customWidth="1"/>
    <col min="9986" max="9986" width="13.85546875" style="3" customWidth="1"/>
    <col min="9987" max="9987" width="21.140625" style="3" customWidth="1"/>
    <col min="9988" max="9988" width="22.85546875" style="3" customWidth="1"/>
    <col min="9989" max="9989" width="19.85546875" style="3" customWidth="1"/>
    <col min="9990" max="9990" width="17.5703125" style="3" customWidth="1"/>
    <col min="9991" max="9991" width="15.140625" style="3" customWidth="1"/>
    <col min="9992" max="9992" width="19.28515625" style="3" customWidth="1"/>
    <col min="9993" max="9993" width="15.85546875" style="3" customWidth="1"/>
    <col min="9994" max="9994" width="19.7109375" style="3" customWidth="1"/>
    <col min="9995" max="9995" width="18.85546875" style="3" customWidth="1"/>
    <col min="9996" max="9996" width="19.7109375" style="3" customWidth="1"/>
    <col min="9997" max="9997" width="7.28515625" style="3" customWidth="1"/>
    <col min="9998" max="9998" width="12.85546875" style="3" customWidth="1"/>
    <col min="9999" max="9999" width="9.5703125" style="3" customWidth="1"/>
    <col min="10000" max="10000" width="20" style="3" customWidth="1"/>
    <col min="10001" max="10001" width="19.5703125" style="3" customWidth="1"/>
    <col min="10002" max="10002" width="23.5703125" style="3" customWidth="1"/>
    <col min="10003" max="10003" width="16.28515625" style="3" customWidth="1"/>
    <col min="10004" max="10004" width="14.28515625" style="3" customWidth="1"/>
    <col min="10005" max="10005" width="14.140625" style="3" customWidth="1"/>
    <col min="10006" max="10006" width="17.42578125" style="3" customWidth="1"/>
    <col min="10007" max="10007" width="19.28515625" style="3" customWidth="1"/>
    <col min="10008" max="10008" width="17.7109375" style="3" customWidth="1"/>
    <col min="10009" max="10009" width="21.85546875" style="3" customWidth="1"/>
    <col min="10010" max="10010" width="11.140625" style="3" customWidth="1"/>
    <col min="10011" max="10011" width="9.28515625" style="3" customWidth="1"/>
    <col min="10012" max="10012" width="12.5703125" style="3" customWidth="1"/>
    <col min="10013" max="10013" width="13.5703125" style="3" customWidth="1"/>
    <col min="10014" max="10014" width="18" style="3" customWidth="1"/>
    <col min="10015" max="10015" width="14.85546875" style="3" customWidth="1"/>
    <col min="10016" max="10016" width="10.85546875" style="3" customWidth="1"/>
    <col min="10017" max="10018" width="9.28515625" style="3" customWidth="1"/>
    <col min="10019" max="10019" width="11.42578125" style="3" customWidth="1"/>
    <col min="10020" max="10022" width="9.140625" style="3"/>
    <col min="10023" max="10023" width="16" style="3" customWidth="1"/>
    <col min="10024" max="10025" width="21" style="3" customWidth="1"/>
    <col min="10026" max="10026" width="22.140625" style="3" customWidth="1"/>
    <col min="10027" max="10027" width="19" style="3" customWidth="1"/>
    <col min="10028" max="10029" width="17.28515625" style="3" customWidth="1"/>
    <col min="10030" max="10030" width="18.85546875" style="3" customWidth="1"/>
    <col min="10031" max="10031" width="20" style="3" customWidth="1"/>
    <col min="10032" max="10240" width="9.140625" style="3"/>
    <col min="10241" max="10241" width="8.85546875" style="3" customWidth="1"/>
    <col min="10242" max="10242" width="13.85546875" style="3" customWidth="1"/>
    <col min="10243" max="10243" width="21.140625" style="3" customWidth="1"/>
    <col min="10244" max="10244" width="22.85546875" style="3" customWidth="1"/>
    <col min="10245" max="10245" width="19.85546875" style="3" customWidth="1"/>
    <col min="10246" max="10246" width="17.5703125" style="3" customWidth="1"/>
    <col min="10247" max="10247" width="15.140625" style="3" customWidth="1"/>
    <col min="10248" max="10248" width="19.28515625" style="3" customWidth="1"/>
    <col min="10249" max="10249" width="15.85546875" style="3" customWidth="1"/>
    <col min="10250" max="10250" width="19.7109375" style="3" customWidth="1"/>
    <col min="10251" max="10251" width="18.85546875" style="3" customWidth="1"/>
    <col min="10252" max="10252" width="19.7109375" style="3" customWidth="1"/>
    <col min="10253" max="10253" width="7.28515625" style="3" customWidth="1"/>
    <col min="10254" max="10254" width="12.85546875" style="3" customWidth="1"/>
    <col min="10255" max="10255" width="9.5703125" style="3" customWidth="1"/>
    <col min="10256" max="10256" width="20" style="3" customWidth="1"/>
    <col min="10257" max="10257" width="19.5703125" style="3" customWidth="1"/>
    <col min="10258" max="10258" width="23.5703125" style="3" customWidth="1"/>
    <col min="10259" max="10259" width="16.28515625" style="3" customWidth="1"/>
    <col min="10260" max="10260" width="14.28515625" style="3" customWidth="1"/>
    <col min="10261" max="10261" width="14.140625" style="3" customWidth="1"/>
    <col min="10262" max="10262" width="17.42578125" style="3" customWidth="1"/>
    <col min="10263" max="10263" width="19.28515625" style="3" customWidth="1"/>
    <col min="10264" max="10264" width="17.7109375" style="3" customWidth="1"/>
    <col min="10265" max="10265" width="21.85546875" style="3" customWidth="1"/>
    <col min="10266" max="10266" width="11.140625" style="3" customWidth="1"/>
    <col min="10267" max="10267" width="9.28515625" style="3" customWidth="1"/>
    <col min="10268" max="10268" width="12.5703125" style="3" customWidth="1"/>
    <col min="10269" max="10269" width="13.5703125" style="3" customWidth="1"/>
    <col min="10270" max="10270" width="18" style="3" customWidth="1"/>
    <col min="10271" max="10271" width="14.85546875" style="3" customWidth="1"/>
    <col min="10272" max="10272" width="10.85546875" style="3" customWidth="1"/>
    <col min="10273" max="10274" width="9.28515625" style="3" customWidth="1"/>
    <col min="10275" max="10275" width="11.42578125" style="3" customWidth="1"/>
    <col min="10276" max="10278" width="9.140625" style="3"/>
    <col min="10279" max="10279" width="16" style="3" customWidth="1"/>
    <col min="10280" max="10281" width="21" style="3" customWidth="1"/>
    <col min="10282" max="10282" width="22.140625" style="3" customWidth="1"/>
    <col min="10283" max="10283" width="19" style="3" customWidth="1"/>
    <col min="10284" max="10285" width="17.28515625" style="3" customWidth="1"/>
    <col min="10286" max="10286" width="18.85546875" style="3" customWidth="1"/>
    <col min="10287" max="10287" width="20" style="3" customWidth="1"/>
    <col min="10288" max="10496" width="9.140625" style="3"/>
    <col min="10497" max="10497" width="8.85546875" style="3" customWidth="1"/>
    <col min="10498" max="10498" width="13.85546875" style="3" customWidth="1"/>
    <col min="10499" max="10499" width="21.140625" style="3" customWidth="1"/>
    <col min="10500" max="10500" width="22.85546875" style="3" customWidth="1"/>
    <col min="10501" max="10501" width="19.85546875" style="3" customWidth="1"/>
    <col min="10502" max="10502" width="17.5703125" style="3" customWidth="1"/>
    <col min="10503" max="10503" width="15.140625" style="3" customWidth="1"/>
    <col min="10504" max="10504" width="19.28515625" style="3" customWidth="1"/>
    <col min="10505" max="10505" width="15.85546875" style="3" customWidth="1"/>
    <col min="10506" max="10506" width="19.7109375" style="3" customWidth="1"/>
    <col min="10507" max="10507" width="18.85546875" style="3" customWidth="1"/>
    <col min="10508" max="10508" width="19.7109375" style="3" customWidth="1"/>
    <col min="10509" max="10509" width="7.28515625" style="3" customWidth="1"/>
    <col min="10510" max="10510" width="12.85546875" style="3" customWidth="1"/>
    <col min="10511" max="10511" width="9.5703125" style="3" customWidth="1"/>
    <col min="10512" max="10512" width="20" style="3" customWidth="1"/>
    <col min="10513" max="10513" width="19.5703125" style="3" customWidth="1"/>
    <col min="10514" max="10514" width="23.5703125" style="3" customWidth="1"/>
    <col min="10515" max="10515" width="16.28515625" style="3" customWidth="1"/>
    <col min="10516" max="10516" width="14.28515625" style="3" customWidth="1"/>
    <col min="10517" max="10517" width="14.140625" style="3" customWidth="1"/>
    <col min="10518" max="10518" width="17.42578125" style="3" customWidth="1"/>
    <col min="10519" max="10519" width="19.28515625" style="3" customWidth="1"/>
    <col min="10520" max="10520" width="17.7109375" style="3" customWidth="1"/>
    <col min="10521" max="10521" width="21.85546875" style="3" customWidth="1"/>
    <col min="10522" max="10522" width="11.140625" style="3" customWidth="1"/>
    <col min="10523" max="10523" width="9.28515625" style="3" customWidth="1"/>
    <col min="10524" max="10524" width="12.5703125" style="3" customWidth="1"/>
    <col min="10525" max="10525" width="13.5703125" style="3" customWidth="1"/>
    <col min="10526" max="10526" width="18" style="3" customWidth="1"/>
    <col min="10527" max="10527" width="14.85546875" style="3" customWidth="1"/>
    <col min="10528" max="10528" width="10.85546875" style="3" customWidth="1"/>
    <col min="10529" max="10530" width="9.28515625" style="3" customWidth="1"/>
    <col min="10531" max="10531" width="11.42578125" style="3" customWidth="1"/>
    <col min="10532" max="10534" width="9.140625" style="3"/>
    <col min="10535" max="10535" width="16" style="3" customWidth="1"/>
    <col min="10536" max="10537" width="21" style="3" customWidth="1"/>
    <col min="10538" max="10538" width="22.140625" style="3" customWidth="1"/>
    <col min="10539" max="10539" width="19" style="3" customWidth="1"/>
    <col min="10540" max="10541" width="17.28515625" style="3" customWidth="1"/>
    <col min="10542" max="10542" width="18.85546875" style="3" customWidth="1"/>
    <col min="10543" max="10543" width="20" style="3" customWidth="1"/>
    <col min="10544" max="10752" width="9.140625" style="3"/>
    <col min="10753" max="10753" width="8.85546875" style="3" customWidth="1"/>
    <col min="10754" max="10754" width="13.85546875" style="3" customWidth="1"/>
    <col min="10755" max="10755" width="21.140625" style="3" customWidth="1"/>
    <col min="10756" max="10756" width="22.85546875" style="3" customWidth="1"/>
    <col min="10757" max="10757" width="19.85546875" style="3" customWidth="1"/>
    <col min="10758" max="10758" width="17.5703125" style="3" customWidth="1"/>
    <col min="10759" max="10759" width="15.140625" style="3" customWidth="1"/>
    <col min="10760" max="10760" width="19.28515625" style="3" customWidth="1"/>
    <col min="10761" max="10761" width="15.85546875" style="3" customWidth="1"/>
    <col min="10762" max="10762" width="19.7109375" style="3" customWidth="1"/>
    <col min="10763" max="10763" width="18.85546875" style="3" customWidth="1"/>
    <col min="10764" max="10764" width="19.7109375" style="3" customWidth="1"/>
    <col min="10765" max="10765" width="7.28515625" style="3" customWidth="1"/>
    <col min="10766" max="10766" width="12.85546875" style="3" customWidth="1"/>
    <col min="10767" max="10767" width="9.5703125" style="3" customWidth="1"/>
    <col min="10768" max="10768" width="20" style="3" customWidth="1"/>
    <col min="10769" max="10769" width="19.5703125" style="3" customWidth="1"/>
    <col min="10770" max="10770" width="23.5703125" style="3" customWidth="1"/>
    <col min="10771" max="10771" width="16.28515625" style="3" customWidth="1"/>
    <col min="10772" max="10772" width="14.28515625" style="3" customWidth="1"/>
    <col min="10773" max="10773" width="14.140625" style="3" customWidth="1"/>
    <col min="10774" max="10774" width="17.42578125" style="3" customWidth="1"/>
    <col min="10775" max="10775" width="19.28515625" style="3" customWidth="1"/>
    <col min="10776" max="10776" width="17.7109375" style="3" customWidth="1"/>
    <col min="10777" max="10777" width="21.85546875" style="3" customWidth="1"/>
    <col min="10778" max="10778" width="11.140625" style="3" customWidth="1"/>
    <col min="10779" max="10779" width="9.28515625" style="3" customWidth="1"/>
    <col min="10780" max="10780" width="12.5703125" style="3" customWidth="1"/>
    <col min="10781" max="10781" width="13.5703125" style="3" customWidth="1"/>
    <col min="10782" max="10782" width="18" style="3" customWidth="1"/>
    <col min="10783" max="10783" width="14.85546875" style="3" customWidth="1"/>
    <col min="10784" max="10784" width="10.85546875" style="3" customWidth="1"/>
    <col min="10785" max="10786" width="9.28515625" style="3" customWidth="1"/>
    <col min="10787" max="10787" width="11.42578125" style="3" customWidth="1"/>
    <col min="10788" max="10790" width="9.140625" style="3"/>
    <col min="10791" max="10791" width="16" style="3" customWidth="1"/>
    <col min="10792" max="10793" width="21" style="3" customWidth="1"/>
    <col min="10794" max="10794" width="22.140625" style="3" customWidth="1"/>
    <col min="10795" max="10795" width="19" style="3" customWidth="1"/>
    <col min="10796" max="10797" width="17.28515625" style="3" customWidth="1"/>
    <col min="10798" max="10798" width="18.85546875" style="3" customWidth="1"/>
    <col min="10799" max="10799" width="20" style="3" customWidth="1"/>
    <col min="10800" max="11008" width="9.140625" style="3"/>
    <col min="11009" max="11009" width="8.85546875" style="3" customWidth="1"/>
    <col min="11010" max="11010" width="13.85546875" style="3" customWidth="1"/>
    <col min="11011" max="11011" width="21.140625" style="3" customWidth="1"/>
    <col min="11012" max="11012" width="22.85546875" style="3" customWidth="1"/>
    <col min="11013" max="11013" width="19.85546875" style="3" customWidth="1"/>
    <col min="11014" max="11014" width="17.5703125" style="3" customWidth="1"/>
    <col min="11015" max="11015" width="15.140625" style="3" customWidth="1"/>
    <col min="11016" max="11016" width="19.28515625" style="3" customWidth="1"/>
    <col min="11017" max="11017" width="15.85546875" style="3" customWidth="1"/>
    <col min="11018" max="11018" width="19.7109375" style="3" customWidth="1"/>
    <col min="11019" max="11019" width="18.85546875" style="3" customWidth="1"/>
    <col min="11020" max="11020" width="19.7109375" style="3" customWidth="1"/>
    <col min="11021" max="11021" width="7.28515625" style="3" customWidth="1"/>
    <col min="11022" max="11022" width="12.85546875" style="3" customWidth="1"/>
    <col min="11023" max="11023" width="9.5703125" style="3" customWidth="1"/>
    <col min="11024" max="11024" width="20" style="3" customWidth="1"/>
    <col min="11025" max="11025" width="19.5703125" style="3" customWidth="1"/>
    <col min="11026" max="11026" width="23.5703125" style="3" customWidth="1"/>
    <col min="11027" max="11027" width="16.28515625" style="3" customWidth="1"/>
    <col min="11028" max="11028" width="14.28515625" style="3" customWidth="1"/>
    <col min="11029" max="11029" width="14.140625" style="3" customWidth="1"/>
    <col min="11030" max="11030" width="17.42578125" style="3" customWidth="1"/>
    <col min="11031" max="11031" width="19.28515625" style="3" customWidth="1"/>
    <col min="11032" max="11032" width="17.7109375" style="3" customWidth="1"/>
    <col min="11033" max="11033" width="21.85546875" style="3" customWidth="1"/>
    <col min="11034" max="11034" width="11.140625" style="3" customWidth="1"/>
    <col min="11035" max="11035" width="9.28515625" style="3" customWidth="1"/>
    <col min="11036" max="11036" width="12.5703125" style="3" customWidth="1"/>
    <col min="11037" max="11037" width="13.5703125" style="3" customWidth="1"/>
    <col min="11038" max="11038" width="18" style="3" customWidth="1"/>
    <col min="11039" max="11039" width="14.85546875" style="3" customWidth="1"/>
    <col min="11040" max="11040" width="10.85546875" style="3" customWidth="1"/>
    <col min="11041" max="11042" width="9.28515625" style="3" customWidth="1"/>
    <col min="11043" max="11043" width="11.42578125" style="3" customWidth="1"/>
    <col min="11044" max="11046" width="9.140625" style="3"/>
    <col min="11047" max="11047" width="16" style="3" customWidth="1"/>
    <col min="11048" max="11049" width="21" style="3" customWidth="1"/>
    <col min="11050" max="11050" width="22.140625" style="3" customWidth="1"/>
    <col min="11051" max="11051" width="19" style="3" customWidth="1"/>
    <col min="11052" max="11053" width="17.28515625" style="3" customWidth="1"/>
    <col min="11054" max="11054" width="18.85546875" style="3" customWidth="1"/>
    <col min="11055" max="11055" width="20" style="3" customWidth="1"/>
    <col min="11056" max="11264" width="9.140625" style="3"/>
    <col min="11265" max="11265" width="8.85546875" style="3" customWidth="1"/>
    <col min="11266" max="11266" width="13.85546875" style="3" customWidth="1"/>
    <col min="11267" max="11267" width="21.140625" style="3" customWidth="1"/>
    <col min="11268" max="11268" width="22.85546875" style="3" customWidth="1"/>
    <col min="11269" max="11269" width="19.85546875" style="3" customWidth="1"/>
    <col min="11270" max="11270" width="17.5703125" style="3" customWidth="1"/>
    <col min="11271" max="11271" width="15.140625" style="3" customWidth="1"/>
    <col min="11272" max="11272" width="19.28515625" style="3" customWidth="1"/>
    <col min="11273" max="11273" width="15.85546875" style="3" customWidth="1"/>
    <col min="11274" max="11274" width="19.7109375" style="3" customWidth="1"/>
    <col min="11275" max="11275" width="18.85546875" style="3" customWidth="1"/>
    <col min="11276" max="11276" width="19.7109375" style="3" customWidth="1"/>
    <col min="11277" max="11277" width="7.28515625" style="3" customWidth="1"/>
    <col min="11278" max="11278" width="12.85546875" style="3" customWidth="1"/>
    <col min="11279" max="11279" width="9.5703125" style="3" customWidth="1"/>
    <col min="11280" max="11280" width="20" style="3" customWidth="1"/>
    <col min="11281" max="11281" width="19.5703125" style="3" customWidth="1"/>
    <col min="11282" max="11282" width="23.5703125" style="3" customWidth="1"/>
    <col min="11283" max="11283" width="16.28515625" style="3" customWidth="1"/>
    <col min="11284" max="11284" width="14.28515625" style="3" customWidth="1"/>
    <col min="11285" max="11285" width="14.140625" style="3" customWidth="1"/>
    <col min="11286" max="11286" width="17.42578125" style="3" customWidth="1"/>
    <col min="11287" max="11287" width="19.28515625" style="3" customWidth="1"/>
    <col min="11288" max="11288" width="17.7109375" style="3" customWidth="1"/>
    <col min="11289" max="11289" width="21.85546875" style="3" customWidth="1"/>
    <col min="11290" max="11290" width="11.140625" style="3" customWidth="1"/>
    <col min="11291" max="11291" width="9.28515625" style="3" customWidth="1"/>
    <col min="11292" max="11292" width="12.5703125" style="3" customWidth="1"/>
    <col min="11293" max="11293" width="13.5703125" style="3" customWidth="1"/>
    <col min="11294" max="11294" width="18" style="3" customWidth="1"/>
    <col min="11295" max="11295" width="14.85546875" style="3" customWidth="1"/>
    <col min="11296" max="11296" width="10.85546875" style="3" customWidth="1"/>
    <col min="11297" max="11298" width="9.28515625" style="3" customWidth="1"/>
    <col min="11299" max="11299" width="11.42578125" style="3" customWidth="1"/>
    <col min="11300" max="11302" width="9.140625" style="3"/>
    <col min="11303" max="11303" width="16" style="3" customWidth="1"/>
    <col min="11304" max="11305" width="21" style="3" customWidth="1"/>
    <col min="11306" max="11306" width="22.140625" style="3" customWidth="1"/>
    <col min="11307" max="11307" width="19" style="3" customWidth="1"/>
    <col min="11308" max="11309" width="17.28515625" style="3" customWidth="1"/>
    <col min="11310" max="11310" width="18.85546875" style="3" customWidth="1"/>
    <col min="11311" max="11311" width="20" style="3" customWidth="1"/>
    <col min="11312" max="11520" width="9.140625" style="3"/>
    <col min="11521" max="11521" width="8.85546875" style="3" customWidth="1"/>
    <col min="11522" max="11522" width="13.85546875" style="3" customWidth="1"/>
    <col min="11523" max="11523" width="21.140625" style="3" customWidth="1"/>
    <col min="11524" max="11524" width="22.85546875" style="3" customWidth="1"/>
    <col min="11525" max="11525" width="19.85546875" style="3" customWidth="1"/>
    <col min="11526" max="11526" width="17.5703125" style="3" customWidth="1"/>
    <col min="11527" max="11527" width="15.140625" style="3" customWidth="1"/>
    <col min="11528" max="11528" width="19.28515625" style="3" customWidth="1"/>
    <col min="11529" max="11529" width="15.85546875" style="3" customWidth="1"/>
    <col min="11530" max="11530" width="19.7109375" style="3" customWidth="1"/>
    <col min="11531" max="11531" width="18.85546875" style="3" customWidth="1"/>
    <col min="11532" max="11532" width="19.7109375" style="3" customWidth="1"/>
    <col min="11533" max="11533" width="7.28515625" style="3" customWidth="1"/>
    <col min="11534" max="11534" width="12.85546875" style="3" customWidth="1"/>
    <col min="11535" max="11535" width="9.5703125" style="3" customWidth="1"/>
    <col min="11536" max="11536" width="20" style="3" customWidth="1"/>
    <col min="11537" max="11537" width="19.5703125" style="3" customWidth="1"/>
    <col min="11538" max="11538" width="23.5703125" style="3" customWidth="1"/>
    <col min="11539" max="11539" width="16.28515625" style="3" customWidth="1"/>
    <col min="11540" max="11540" width="14.28515625" style="3" customWidth="1"/>
    <col min="11541" max="11541" width="14.140625" style="3" customWidth="1"/>
    <col min="11542" max="11542" width="17.42578125" style="3" customWidth="1"/>
    <col min="11543" max="11543" width="19.28515625" style="3" customWidth="1"/>
    <col min="11544" max="11544" width="17.7109375" style="3" customWidth="1"/>
    <col min="11545" max="11545" width="21.85546875" style="3" customWidth="1"/>
    <col min="11546" max="11546" width="11.140625" style="3" customWidth="1"/>
    <col min="11547" max="11547" width="9.28515625" style="3" customWidth="1"/>
    <col min="11548" max="11548" width="12.5703125" style="3" customWidth="1"/>
    <col min="11549" max="11549" width="13.5703125" style="3" customWidth="1"/>
    <col min="11550" max="11550" width="18" style="3" customWidth="1"/>
    <col min="11551" max="11551" width="14.85546875" style="3" customWidth="1"/>
    <col min="11552" max="11552" width="10.85546875" style="3" customWidth="1"/>
    <col min="11553" max="11554" width="9.28515625" style="3" customWidth="1"/>
    <col min="11555" max="11555" width="11.42578125" style="3" customWidth="1"/>
    <col min="11556" max="11558" width="9.140625" style="3"/>
    <col min="11559" max="11559" width="16" style="3" customWidth="1"/>
    <col min="11560" max="11561" width="21" style="3" customWidth="1"/>
    <col min="11562" max="11562" width="22.140625" style="3" customWidth="1"/>
    <col min="11563" max="11563" width="19" style="3" customWidth="1"/>
    <col min="11564" max="11565" width="17.28515625" style="3" customWidth="1"/>
    <col min="11566" max="11566" width="18.85546875" style="3" customWidth="1"/>
    <col min="11567" max="11567" width="20" style="3" customWidth="1"/>
    <col min="11568" max="11776" width="9.140625" style="3"/>
    <col min="11777" max="11777" width="8.85546875" style="3" customWidth="1"/>
    <col min="11778" max="11778" width="13.85546875" style="3" customWidth="1"/>
    <col min="11779" max="11779" width="21.140625" style="3" customWidth="1"/>
    <col min="11780" max="11780" width="22.85546875" style="3" customWidth="1"/>
    <col min="11781" max="11781" width="19.85546875" style="3" customWidth="1"/>
    <col min="11782" max="11782" width="17.5703125" style="3" customWidth="1"/>
    <col min="11783" max="11783" width="15.140625" style="3" customWidth="1"/>
    <col min="11784" max="11784" width="19.28515625" style="3" customWidth="1"/>
    <col min="11785" max="11785" width="15.85546875" style="3" customWidth="1"/>
    <col min="11786" max="11786" width="19.7109375" style="3" customWidth="1"/>
    <col min="11787" max="11787" width="18.85546875" style="3" customWidth="1"/>
    <col min="11788" max="11788" width="19.7109375" style="3" customWidth="1"/>
    <col min="11789" max="11789" width="7.28515625" style="3" customWidth="1"/>
    <col min="11790" max="11790" width="12.85546875" style="3" customWidth="1"/>
    <col min="11791" max="11791" width="9.5703125" style="3" customWidth="1"/>
    <col min="11792" max="11792" width="20" style="3" customWidth="1"/>
    <col min="11793" max="11793" width="19.5703125" style="3" customWidth="1"/>
    <col min="11794" max="11794" width="23.5703125" style="3" customWidth="1"/>
    <col min="11795" max="11795" width="16.28515625" style="3" customWidth="1"/>
    <col min="11796" max="11796" width="14.28515625" style="3" customWidth="1"/>
    <col min="11797" max="11797" width="14.140625" style="3" customWidth="1"/>
    <col min="11798" max="11798" width="17.42578125" style="3" customWidth="1"/>
    <col min="11799" max="11799" width="19.28515625" style="3" customWidth="1"/>
    <col min="11800" max="11800" width="17.7109375" style="3" customWidth="1"/>
    <col min="11801" max="11801" width="21.85546875" style="3" customWidth="1"/>
    <col min="11802" max="11802" width="11.140625" style="3" customWidth="1"/>
    <col min="11803" max="11803" width="9.28515625" style="3" customWidth="1"/>
    <col min="11804" max="11804" width="12.5703125" style="3" customWidth="1"/>
    <col min="11805" max="11805" width="13.5703125" style="3" customWidth="1"/>
    <col min="11806" max="11806" width="18" style="3" customWidth="1"/>
    <col min="11807" max="11807" width="14.85546875" style="3" customWidth="1"/>
    <col min="11808" max="11808" width="10.85546875" style="3" customWidth="1"/>
    <col min="11809" max="11810" width="9.28515625" style="3" customWidth="1"/>
    <col min="11811" max="11811" width="11.42578125" style="3" customWidth="1"/>
    <col min="11812" max="11814" width="9.140625" style="3"/>
    <col min="11815" max="11815" width="16" style="3" customWidth="1"/>
    <col min="11816" max="11817" width="21" style="3" customWidth="1"/>
    <col min="11818" max="11818" width="22.140625" style="3" customWidth="1"/>
    <col min="11819" max="11819" width="19" style="3" customWidth="1"/>
    <col min="11820" max="11821" width="17.28515625" style="3" customWidth="1"/>
    <col min="11822" max="11822" width="18.85546875" style="3" customWidth="1"/>
    <col min="11823" max="11823" width="20" style="3" customWidth="1"/>
    <col min="11824" max="12032" width="9.140625" style="3"/>
    <col min="12033" max="12033" width="8.85546875" style="3" customWidth="1"/>
    <col min="12034" max="12034" width="13.85546875" style="3" customWidth="1"/>
    <col min="12035" max="12035" width="21.140625" style="3" customWidth="1"/>
    <col min="12036" max="12036" width="22.85546875" style="3" customWidth="1"/>
    <col min="12037" max="12037" width="19.85546875" style="3" customWidth="1"/>
    <col min="12038" max="12038" width="17.5703125" style="3" customWidth="1"/>
    <col min="12039" max="12039" width="15.140625" style="3" customWidth="1"/>
    <col min="12040" max="12040" width="19.28515625" style="3" customWidth="1"/>
    <col min="12041" max="12041" width="15.85546875" style="3" customWidth="1"/>
    <col min="12042" max="12042" width="19.7109375" style="3" customWidth="1"/>
    <col min="12043" max="12043" width="18.85546875" style="3" customWidth="1"/>
    <col min="12044" max="12044" width="19.7109375" style="3" customWidth="1"/>
    <col min="12045" max="12045" width="7.28515625" style="3" customWidth="1"/>
    <col min="12046" max="12046" width="12.85546875" style="3" customWidth="1"/>
    <col min="12047" max="12047" width="9.5703125" style="3" customWidth="1"/>
    <col min="12048" max="12048" width="20" style="3" customWidth="1"/>
    <col min="12049" max="12049" width="19.5703125" style="3" customWidth="1"/>
    <col min="12050" max="12050" width="23.5703125" style="3" customWidth="1"/>
    <col min="12051" max="12051" width="16.28515625" style="3" customWidth="1"/>
    <col min="12052" max="12052" width="14.28515625" style="3" customWidth="1"/>
    <col min="12053" max="12053" width="14.140625" style="3" customWidth="1"/>
    <col min="12054" max="12054" width="17.42578125" style="3" customWidth="1"/>
    <col min="12055" max="12055" width="19.28515625" style="3" customWidth="1"/>
    <col min="12056" max="12056" width="17.7109375" style="3" customWidth="1"/>
    <col min="12057" max="12057" width="21.85546875" style="3" customWidth="1"/>
    <col min="12058" max="12058" width="11.140625" style="3" customWidth="1"/>
    <col min="12059" max="12059" width="9.28515625" style="3" customWidth="1"/>
    <col min="12060" max="12060" width="12.5703125" style="3" customWidth="1"/>
    <col min="12061" max="12061" width="13.5703125" style="3" customWidth="1"/>
    <col min="12062" max="12062" width="18" style="3" customWidth="1"/>
    <col min="12063" max="12063" width="14.85546875" style="3" customWidth="1"/>
    <col min="12064" max="12064" width="10.85546875" style="3" customWidth="1"/>
    <col min="12065" max="12066" width="9.28515625" style="3" customWidth="1"/>
    <col min="12067" max="12067" width="11.42578125" style="3" customWidth="1"/>
    <col min="12068" max="12070" width="9.140625" style="3"/>
    <col min="12071" max="12071" width="16" style="3" customWidth="1"/>
    <col min="12072" max="12073" width="21" style="3" customWidth="1"/>
    <col min="12074" max="12074" width="22.140625" style="3" customWidth="1"/>
    <col min="12075" max="12075" width="19" style="3" customWidth="1"/>
    <col min="12076" max="12077" width="17.28515625" style="3" customWidth="1"/>
    <col min="12078" max="12078" width="18.85546875" style="3" customWidth="1"/>
    <col min="12079" max="12079" width="20" style="3" customWidth="1"/>
    <col min="12080" max="12288" width="9.140625" style="3"/>
    <col min="12289" max="12289" width="8.85546875" style="3" customWidth="1"/>
    <col min="12290" max="12290" width="13.85546875" style="3" customWidth="1"/>
    <col min="12291" max="12291" width="21.140625" style="3" customWidth="1"/>
    <col min="12292" max="12292" width="22.85546875" style="3" customWidth="1"/>
    <col min="12293" max="12293" width="19.85546875" style="3" customWidth="1"/>
    <col min="12294" max="12294" width="17.5703125" style="3" customWidth="1"/>
    <col min="12295" max="12295" width="15.140625" style="3" customWidth="1"/>
    <col min="12296" max="12296" width="19.28515625" style="3" customWidth="1"/>
    <col min="12297" max="12297" width="15.85546875" style="3" customWidth="1"/>
    <col min="12298" max="12298" width="19.7109375" style="3" customWidth="1"/>
    <col min="12299" max="12299" width="18.85546875" style="3" customWidth="1"/>
    <col min="12300" max="12300" width="19.7109375" style="3" customWidth="1"/>
    <col min="12301" max="12301" width="7.28515625" style="3" customWidth="1"/>
    <col min="12302" max="12302" width="12.85546875" style="3" customWidth="1"/>
    <col min="12303" max="12303" width="9.5703125" style="3" customWidth="1"/>
    <col min="12304" max="12304" width="20" style="3" customWidth="1"/>
    <col min="12305" max="12305" width="19.5703125" style="3" customWidth="1"/>
    <col min="12306" max="12306" width="23.5703125" style="3" customWidth="1"/>
    <col min="12307" max="12307" width="16.28515625" style="3" customWidth="1"/>
    <col min="12308" max="12308" width="14.28515625" style="3" customWidth="1"/>
    <col min="12309" max="12309" width="14.140625" style="3" customWidth="1"/>
    <col min="12310" max="12310" width="17.42578125" style="3" customWidth="1"/>
    <col min="12311" max="12311" width="19.28515625" style="3" customWidth="1"/>
    <col min="12312" max="12312" width="17.7109375" style="3" customWidth="1"/>
    <col min="12313" max="12313" width="21.85546875" style="3" customWidth="1"/>
    <col min="12314" max="12314" width="11.140625" style="3" customWidth="1"/>
    <col min="12315" max="12315" width="9.28515625" style="3" customWidth="1"/>
    <col min="12316" max="12316" width="12.5703125" style="3" customWidth="1"/>
    <col min="12317" max="12317" width="13.5703125" style="3" customWidth="1"/>
    <col min="12318" max="12318" width="18" style="3" customWidth="1"/>
    <col min="12319" max="12319" width="14.85546875" style="3" customWidth="1"/>
    <col min="12320" max="12320" width="10.85546875" style="3" customWidth="1"/>
    <col min="12321" max="12322" width="9.28515625" style="3" customWidth="1"/>
    <col min="12323" max="12323" width="11.42578125" style="3" customWidth="1"/>
    <col min="12324" max="12326" width="9.140625" style="3"/>
    <col min="12327" max="12327" width="16" style="3" customWidth="1"/>
    <col min="12328" max="12329" width="21" style="3" customWidth="1"/>
    <col min="12330" max="12330" width="22.140625" style="3" customWidth="1"/>
    <col min="12331" max="12331" width="19" style="3" customWidth="1"/>
    <col min="12332" max="12333" width="17.28515625" style="3" customWidth="1"/>
    <col min="12334" max="12334" width="18.85546875" style="3" customWidth="1"/>
    <col min="12335" max="12335" width="20" style="3" customWidth="1"/>
    <col min="12336" max="12544" width="9.140625" style="3"/>
    <col min="12545" max="12545" width="8.85546875" style="3" customWidth="1"/>
    <col min="12546" max="12546" width="13.85546875" style="3" customWidth="1"/>
    <col min="12547" max="12547" width="21.140625" style="3" customWidth="1"/>
    <col min="12548" max="12548" width="22.85546875" style="3" customWidth="1"/>
    <col min="12549" max="12549" width="19.85546875" style="3" customWidth="1"/>
    <col min="12550" max="12550" width="17.5703125" style="3" customWidth="1"/>
    <col min="12551" max="12551" width="15.140625" style="3" customWidth="1"/>
    <col min="12552" max="12552" width="19.28515625" style="3" customWidth="1"/>
    <col min="12553" max="12553" width="15.85546875" style="3" customWidth="1"/>
    <col min="12554" max="12554" width="19.7109375" style="3" customWidth="1"/>
    <col min="12555" max="12555" width="18.85546875" style="3" customWidth="1"/>
    <col min="12556" max="12556" width="19.7109375" style="3" customWidth="1"/>
    <col min="12557" max="12557" width="7.28515625" style="3" customWidth="1"/>
    <col min="12558" max="12558" width="12.85546875" style="3" customWidth="1"/>
    <col min="12559" max="12559" width="9.5703125" style="3" customWidth="1"/>
    <col min="12560" max="12560" width="20" style="3" customWidth="1"/>
    <col min="12561" max="12561" width="19.5703125" style="3" customWidth="1"/>
    <col min="12562" max="12562" width="23.5703125" style="3" customWidth="1"/>
    <col min="12563" max="12563" width="16.28515625" style="3" customWidth="1"/>
    <col min="12564" max="12564" width="14.28515625" style="3" customWidth="1"/>
    <col min="12565" max="12565" width="14.140625" style="3" customWidth="1"/>
    <col min="12566" max="12566" width="17.42578125" style="3" customWidth="1"/>
    <col min="12567" max="12567" width="19.28515625" style="3" customWidth="1"/>
    <col min="12568" max="12568" width="17.7109375" style="3" customWidth="1"/>
    <col min="12569" max="12569" width="21.85546875" style="3" customWidth="1"/>
    <col min="12570" max="12570" width="11.140625" style="3" customWidth="1"/>
    <col min="12571" max="12571" width="9.28515625" style="3" customWidth="1"/>
    <col min="12572" max="12572" width="12.5703125" style="3" customWidth="1"/>
    <col min="12573" max="12573" width="13.5703125" style="3" customWidth="1"/>
    <col min="12574" max="12574" width="18" style="3" customWidth="1"/>
    <col min="12575" max="12575" width="14.85546875" style="3" customWidth="1"/>
    <col min="12576" max="12576" width="10.85546875" style="3" customWidth="1"/>
    <col min="12577" max="12578" width="9.28515625" style="3" customWidth="1"/>
    <col min="12579" max="12579" width="11.42578125" style="3" customWidth="1"/>
    <col min="12580" max="12582" width="9.140625" style="3"/>
    <col min="12583" max="12583" width="16" style="3" customWidth="1"/>
    <col min="12584" max="12585" width="21" style="3" customWidth="1"/>
    <col min="12586" max="12586" width="22.140625" style="3" customWidth="1"/>
    <col min="12587" max="12587" width="19" style="3" customWidth="1"/>
    <col min="12588" max="12589" width="17.28515625" style="3" customWidth="1"/>
    <col min="12590" max="12590" width="18.85546875" style="3" customWidth="1"/>
    <col min="12591" max="12591" width="20" style="3" customWidth="1"/>
    <col min="12592" max="12800" width="9.140625" style="3"/>
    <col min="12801" max="12801" width="8.85546875" style="3" customWidth="1"/>
    <col min="12802" max="12802" width="13.85546875" style="3" customWidth="1"/>
    <col min="12803" max="12803" width="21.140625" style="3" customWidth="1"/>
    <col min="12804" max="12804" width="22.85546875" style="3" customWidth="1"/>
    <col min="12805" max="12805" width="19.85546875" style="3" customWidth="1"/>
    <col min="12806" max="12806" width="17.5703125" style="3" customWidth="1"/>
    <col min="12807" max="12807" width="15.140625" style="3" customWidth="1"/>
    <col min="12808" max="12808" width="19.28515625" style="3" customWidth="1"/>
    <col min="12809" max="12809" width="15.85546875" style="3" customWidth="1"/>
    <col min="12810" max="12810" width="19.7109375" style="3" customWidth="1"/>
    <col min="12811" max="12811" width="18.85546875" style="3" customWidth="1"/>
    <col min="12812" max="12812" width="19.7109375" style="3" customWidth="1"/>
    <col min="12813" max="12813" width="7.28515625" style="3" customWidth="1"/>
    <col min="12814" max="12814" width="12.85546875" style="3" customWidth="1"/>
    <col min="12815" max="12815" width="9.5703125" style="3" customWidth="1"/>
    <col min="12816" max="12816" width="20" style="3" customWidth="1"/>
    <col min="12817" max="12817" width="19.5703125" style="3" customWidth="1"/>
    <col min="12818" max="12818" width="23.5703125" style="3" customWidth="1"/>
    <col min="12819" max="12819" width="16.28515625" style="3" customWidth="1"/>
    <col min="12820" max="12820" width="14.28515625" style="3" customWidth="1"/>
    <col min="12821" max="12821" width="14.140625" style="3" customWidth="1"/>
    <col min="12822" max="12822" width="17.42578125" style="3" customWidth="1"/>
    <col min="12823" max="12823" width="19.28515625" style="3" customWidth="1"/>
    <col min="12824" max="12824" width="17.7109375" style="3" customWidth="1"/>
    <col min="12825" max="12825" width="21.85546875" style="3" customWidth="1"/>
    <col min="12826" max="12826" width="11.140625" style="3" customWidth="1"/>
    <col min="12827" max="12827" width="9.28515625" style="3" customWidth="1"/>
    <col min="12828" max="12828" width="12.5703125" style="3" customWidth="1"/>
    <col min="12829" max="12829" width="13.5703125" style="3" customWidth="1"/>
    <col min="12830" max="12830" width="18" style="3" customWidth="1"/>
    <col min="12831" max="12831" width="14.85546875" style="3" customWidth="1"/>
    <col min="12832" max="12832" width="10.85546875" style="3" customWidth="1"/>
    <col min="12833" max="12834" width="9.28515625" style="3" customWidth="1"/>
    <col min="12835" max="12835" width="11.42578125" style="3" customWidth="1"/>
    <col min="12836" max="12838" width="9.140625" style="3"/>
    <col min="12839" max="12839" width="16" style="3" customWidth="1"/>
    <col min="12840" max="12841" width="21" style="3" customWidth="1"/>
    <col min="12842" max="12842" width="22.140625" style="3" customWidth="1"/>
    <col min="12843" max="12843" width="19" style="3" customWidth="1"/>
    <col min="12844" max="12845" width="17.28515625" style="3" customWidth="1"/>
    <col min="12846" max="12846" width="18.85546875" style="3" customWidth="1"/>
    <col min="12847" max="12847" width="20" style="3" customWidth="1"/>
    <col min="12848" max="13056" width="9.140625" style="3"/>
    <col min="13057" max="13057" width="8.85546875" style="3" customWidth="1"/>
    <col min="13058" max="13058" width="13.85546875" style="3" customWidth="1"/>
    <col min="13059" max="13059" width="21.140625" style="3" customWidth="1"/>
    <col min="13060" max="13060" width="22.85546875" style="3" customWidth="1"/>
    <col min="13061" max="13061" width="19.85546875" style="3" customWidth="1"/>
    <col min="13062" max="13062" width="17.5703125" style="3" customWidth="1"/>
    <col min="13063" max="13063" width="15.140625" style="3" customWidth="1"/>
    <col min="13064" max="13064" width="19.28515625" style="3" customWidth="1"/>
    <col min="13065" max="13065" width="15.85546875" style="3" customWidth="1"/>
    <col min="13066" max="13066" width="19.7109375" style="3" customWidth="1"/>
    <col min="13067" max="13067" width="18.85546875" style="3" customWidth="1"/>
    <col min="13068" max="13068" width="19.7109375" style="3" customWidth="1"/>
    <col min="13069" max="13069" width="7.28515625" style="3" customWidth="1"/>
    <col min="13070" max="13070" width="12.85546875" style="3" customWidth="1"/>
    <col min="13071" max="13071" width="9.5703125" style="3" customWidth="1"/>
    <col min="13072" max="13072" width="20" style="3" customWidth="1"/>
    <col min="13073" max="13073" width="19.5703125" style="3" customWidth="1"/>
    <col min="13074" max="13074" width="23.5703125" style="3" customWidth="1"/>
    <col min="13075" max="13075" width="16.28515625" style="3" customWidth="1"/>
    <col min="13076" max="13076" width="14.28515625" style="3" customWidth="1"/>
    <col min="13077" max="13077" width="14.140625" style="3" customWidth="1"/>
    <col min="13078" max="13078" width="17.42578125" style="3" customWidth="1"/>
    <col min="13079" max="13079" width="19.28515625" style="3" customWidth="1"/>
    <col min="13080" max="13080" width="17.7109375" style="3" customWidth="1"/>
    <col min="13081" max="13081" width="21.85546875" style="3" customWidth="1"/>
    <col min="13082" max="13082" width="11.140625" style="3" customWidth="1"/>
    <col min="13083" max="13083" width="9.28515625" style="3" customWidth="1"/>
    <col min="13084" max="13084" width="12.5703125" style="3" customWidth="1"/>
    <col min="13085" max="13085" width="13.5703125" style="3" customWidth="1"/>
    <col min="13086" max="13086" width="18" style="3" customWidth="1"/>
    <col min="13087" max="13087" width="14.85546875" style="3" customWidth="1"/>
    <col min="13088" max="13088" width="10.85546875" style="3" customWidth="1"/>
    <col min="13089" max="13090" width="9.28515625" style="3" customWidth="1"/>
    <col min="13091" max="13091" width="11.42578125" style="3" customWidth="1"/>
    <col min="13092" max="13094" width="9.140625" style="3"/>
    <col min="13095" max="13095" width="16" style="3" customWidth="1"/>
    <col min="13096" max="13097" width="21" style="3" customWidth="1"/>
    <col min="13098" max="13098" width="22.140625" style="3" customWidth="1"/>
    <col min="13099" max="13099" width="19" style="3" customWidth="1"/>
    <col min="13100" max="13101" width="17.28515625" style="3" customWidth="1"/>
    <col min="13102" max="13102" width="18.85546875" style="3" customWidth="1"/>
    <col min="13103" max="13103" width="20" style="3" customWidth="1"/>
    <col min="13104" max="13312" width="9.140625" style="3"/>
    <col min="13313" max="13313" width="8.85546875" style="3" customWidth="1"/>
    <col min="13314" max="13314" width="13.85546875" style="3" customWidth="1"/>
    <col min="13315" max="13315" width="21.140625" style="3" customWidth="1"/>
    <col min="13316" max="13316" width="22.85546875" style="3" customWidth="1"/>
    <col min="13317" max="13317" width="19.85546875" style="3" customWidth="1"/>
    <col min="13318" max="13318" width="17.5703125" style="3" customWidth="1"/>
    <col min="13319" max="13319" width="15.140625" style="3" customWidth="1"/>
    <col min="13320" max="13320" width="19.28515625" style="3" customWidth="1"/>
    <col min="13321" max="13321" width="15.85546875" style="3" customWidth="1"/>
    <col min="13322" max="13322" width="19.7109375" style="3" customWidth="1"/>
    <col min="13323" max="13323" width="18.85546875" style="3" customWidth="1"/>
    <col min="13324" max="13324" width="19.7109375" style="3" customWidth="1"/>
    <col min="13325" max="13325" width="7.28515625" style="3" customWidth="1"/>
    <col min="13326" max="13326" width="12.85546875" style="3" customWidth="1"/>
    <col min="13327" max="13327" width="9.5703125" style="3" customWidth="1"/>
    <col min="13328" max="13328" width="20" style="3" customWidth="1"/>
    <col min="13329" max="13329" width="19.5703125" style="3" customWidth="1"/>
    <col min="13330" max="13330" width="23.5703125" style="3" customWidth="1"/>
    <col min="13331" max="13331" width="16.28515625" style="3" customWidth="1"/>
    <col min="13332" max="13332" width="14.28515625" style="3" customWidth="1"/>
    <col min="13333" max="13333" width="14.140625" style="3" customWidth="1"/>
    <col min="13334" max="13334" width="17.42578125" style="3" customWidth="1"/>
    <col min="13335" max="13335" width="19.28515625" style="3" customWidth="1"/>
    <col min="13336" max="13336" width="17.7109375" style="3" customWidth="1"/>
    <col min="13337" max="13337" width="21.85546875" style="3" customWidth="1"/>
    <col min="13338" max="13338" width="11.140625" style="3" customWidth="1"/>
    <col min="13339" max="13339" width="9.28515625" style="3" customWidth="1"/>
    <col min="13340" max="13340" width="12.5703125" style="3" customWidth="1"/>
    <col min="13341" max="13341" width="13.5703125" style="3" customWidth="1"/>
    <col min="13342" max="13342" width="18" style="3" customWidth="1"/>
    <col min="13343" max="13343" width="14.85546875" style="3" customWidth="1"/>
    <col min="13344" max="13344" width="10.85546875" style="3" customWidth="1"/>
    <col min="13345" max="13346" width="9.28515625" style="3" customWidth="1"/>
    <col min="13347" max="13347" width="11.42578125" style="3" customWidth="1"/>
    <col min="13348" max="13350" width="9.140625" style="3"/>
    <col min="13351" max="13351" width="16" style="3" customWidth="1"/>
    <col min="13352" max="13353" width="21" style="3" customWidth="1"/>
    <col min="13354" max="13354" width="22.140625" style="3" customWidth="1"/>
    <col min="13355" max="13355" width="19" style="3" customWidth="1"/>
    <col min="13356" max="13357" width="17.28515625" style="3" customWidth="1"/>
    <col min="13358" max="13358" width="18.85546875" style="3" customWidth="1"/>
    <col min="13359" max="13359" width="20" style="3" customWidth="1"/>
    <col min="13360" max="13568" width="9.140625" style="3"/>
    <col min="13569" max="13569" width="8.85546875" style="3" customWidth="1"/>
    <col min="13570" max="13570" width="13.85546875" style="3" customWidth="1"/>
    <col min="13571" max="13571" width="21.140625" style="3" customWidth="1"/>
    <col min="13572" max="13572" width="22.85546875" style="3" customWidth="1"/>
    <col min="13573" max="13573" width="19.85546875" style="3" customWidth="1"/>
    <col min="13574" max="13574" width="17.5703125" style="3" customWidth="1"/>
    <col min="13575" max="13575" width="15.140625" style="3" customWidth="1"/>
    <col min="13576" max="13576" width="19.28515625" style="3" customWidth="1"/>
    <col min="13577" max="13577" width="15.85546875" style="3" customWidth="1"/>
    <col min="13578" max="13578" width="19.7109375" style="3" customWidth="1"/>
    <col min="13579" max="13579" width="18.85546875" style="3" customWidth="1"/>
    <col min="13580" max="13580" width="19.7109375" style="3" customWidth="1"/>
    <col min="13581" max="13581" width="7.28515625" style="3" customWidth="1"/>
    <col min="13582" max="13582" width="12.85546875" style="3" customWidth="1"/>
    <col min="13583" max="13583" width="9.5703125" style="3" customWidth="1"/>
    <col min="13584" max="13584" width="20" style="3" customWidth="1"/>
    <col min="13585" max="13585" width="19.5703125" style="3" customWidth="1"/>
    <col min="13586" max="13586" width="23.5703125" style="3" customWidth="1"/>
    <col min="13587" max="13587" width="16.28515625" style="3" customWidth="1"/>
    <col min="13588" max="13588" width="14.28515625" style="3" customWidth="1"/>
    <col min="13589" max="13589" width="14.140625" style="3" customWidth="1"/>
    <col min="13590" max="13590" width="17.42578125" style="3" customWidth="1"/>
    <col min="13591" max="13591" width="19.28515625" style="3" customWidth="1"/>
    <col min="13592" max="13592" width="17.7109375" style="3" customWidth="1"/>
    <col min="13593" max="13593" width="21.85546875" style="3" customWidth="1"/>
    <col min="13594" max="13594" width="11.140625" style="3" customWidth="1"/>
    <col min="13595" max="13595" width="9.28515625" style="3" customWidth="1"/>
    <col min="13596" max="13596" width="12.5703125" style="3" customWidth="1"/>
    <col min="13597" max="13597" width="13.5703125" style="3" customWidth="1"/>
    <col min="13598" max="13598" width="18" style="3" customWidth="1"/>
    <col min="13599" max="13599" width="14.85546875" style="3" customWidth="1"/>
    <col min="13600" max="13600" width="10.85546875" style="3" customWidth="1"/>
    <col min="13601" max="13602" width="9.28515625" style="3" customWidth="1"/>
    <col min="13603" max="13603" width="11.42578125" style="3" customWidth="1"/>
    <col min="13604" max="13606" width="9.140625" style="3"/>
    <col min="13607" max="13607" width="16" style="3" customWidth="1"/>
    <col min="13608" max="13609" width="21" style="3" customWidth="1"/>
    <col min="13610" max="13610" width="22.140625" style="3" customWidth="1"/>
    <col min="13611" max="13611" width="19" style="3" customWidth="1"/>
    <col min="13612" max="13613" width="17.28515625" style="3" customWidth="1"/>
    <col min="13614" max="13614" width="18.85546875" style="3" customWidth="1"/>
    <col min="13615" max="13615" width="20" style="3" customWidth="1"/>
    <col min="13616" max="13824" width="9.140625" style="3"/>
    <col min="13825" max="13825" width="8.85546875" style="3" customWidth="1"/>
    <col min="13826" max="13826" width="13.85546875" style="3" customWidth="1"/>
    <col min="13827" max="13827" width="21.140625" style="3" customWidth="1"/>
    <col min="13828" max="13828" width="22.85546875" style="3" customWidth="1"/>
    <col min="13829" max="13829" width="19.85546875" style="3" customWidth="1"/>
    <col min="13830" max="13830" width="17.5703125" style="3" customWidth="1"/>
    <col min="13831" max="13831" width="15.140625" style="3" customWidth="1"/>
    <col min="13832" max="13832" width="19.28515625" style="3" customWidth="1"/>
    <col min="13833" max="13833" width="15.85546875" style="3" customWidth="1"/>
    <col min="13834" max="13834" width="19.7109375" style="3" customWidth="1"/>
    <col min="13835" max="13835" width="18.85546875" style="3" customWidth="1"/>
    <col min="13836" max="13836" width="19.7109375" style="3" customWidth="1"/>
    <col min="13837" max="13837" width="7.28515625" style="3" customWidth="1"/>
    <col min="13838" max="13838" width="12.85546875" style="3" customWidth="1"/>
    <col min="13839" max="13839" width="9.5703125" style="3" customWidth="1"/>
    <col min="13840" max="13840" width="20" style="3" customWidth="1"/>
    <col min="13841" max="13841" width="19.5703125" style="3" customWidth="1"/>
    <col min="13842" max="13842" width="23.5703125" style="3" customWidth="1"/>
    <col min="13843" max="13843" width="16.28515625" style="3" customWidth="1"/>
    <col min="13844" max="13844" width="14.28515625" style="3" customWidth="1"/>
    <col min="13845" max="13845" width="14.140625" style="3" customWidth="1"/>
    <col min="13846" max="13846" width="17.42578125" style="3" customWidth="1"/>
    <col min="13847" max="13847" width="19.28515625" style="3" customWidth="1"/>
    <col min="13848" max="13848" width="17.7109375" style="3" customWidth="1"/>
    <col min="13849" max="13849" width="21.85546875" style="3" customWidth="1"/>
    <col min="13850" max="13850" width="11.140625" style="3" customWidth="1"/>
    <col min="13851" max="13851" width="9.28515625" style="3" customWidth="1"/>
    <col min="13852" max="13852" width="12.5703125" style="3" customWidth="1"/>
    <col min="13853" max="13853" width="13.5703125" style="3" customWidth="1"/>
    <col min="13854" max="13854" width="18" style="3" customWidth="1"/>
    <col min="13855" max="13855" width="14.85546875" style="3" customWidth="1"/>
    <col min="13856" max="13856" width="10.85546875" style="3" customWidth="1"/>
    <col min="13857" max="13858" width="9.28515625" style="3" customWidth="1"/>
    <col min="13859" max="13859" width="11.42578125" style="3" customWidth="1"/>
    <col min="13860" max="13862" width="9.140625" style="3"/>
    <col min="13863" max="13863" width="16" style="3" customWidth="1"/>
    <col min="13864" max="13865" width="21" style="3" customWidth="1"/>
    <col min="13866" max="13866" width="22.140625" style="3" customWidth="1"/>
    <col min="13867" max="13867" width="19" style="3" customWidth="1"/>
    <col min="13868" max="13869" width="17.28515625" style="3" customWidth="1"/>
    <col min="13870" max="13870" width="18.85546875" style="3" customWidth="1"/>
    <col min="13871" max="13871" width="20" style="3" customWidth="1"/>
    <col min="13872" max="14080" width="9.140625" style="3"/>
    <col min="14081" max="14081" width="8.85546875" style="3" customWidth="1"/>
    <col min="14082" max="14082" width="13.85546875" style="3" customWidth="1"/>
    <col min="14083" max="14083" width="21.140625" style="3" customWidth="1"/>
    <col min="14084" max="14084" width="22.85546875" style="3" customWidth="1"/>
    <col min="14085" max="14085" width="19.85546875" style="3" customWidth="1"/>
    <col min="14086" max="14086" width="17.5703125" style="3" customWidth="1"/>
    <col min="14087" max="14087" width="15.140625" style="3" customWidth="1"/>
    <col min="14088" max="14088" width="19.28515625" style="3" customWidth="1"/>
    <col min="14089" max="14089" width="15.85546875" style="3" customWidth="1"/>
    <col min="14090" max="14090" width="19.7109375" style="3" customWidth="1"/>
    <col min="14091" max="14091" width="18.85546875" style="3" customWidth="1"/>
    <col min="14092" max="14092" width="19.7109375" style="3" customWidth="1"/>
    <col min="14093" max="14093" width="7.28515625" style="3" customWidth="1"/>
    <col min="14094" max="14094" width="12.85546875" style="3" customWidth="1"/>
    <col min="14095" max="14095" width="9.5703125" style="3" customWidth="1"/>
    <col min="14096" max="14096" width="20" style="3" customWidth="1"/>
    <col min="14097" max="14097" width="19.5703125" style="3" customWidth="1"/>
    <col min="14098" max="14098" width="23.5703125" style="3" customWidth="1"/>
    <col min="14099" max="14099" width="16.28515625" style="3" customWidth="1"/>
    <col min="14100" max="14100" width="14.28515625" style="3" customWidth="1"/>
    <col min="14101" max="14101" width="14.140625" style="3" customWidth="1"/>
    <col min="14102" max="14102" width="17.42578125" style="3" customWidth="1"/>
    <col min="14103" max="14103" width="19.28515625" style="3" customWidth="1"/>
    <col min="14104" max="14104" width="17.7109375" style="3" customWidth="1"/>
    <col min="14105" max="14105" width="21.85546875" style="3" customWidth="1"/>
    <col min="14106" max="14106" width="11.140625" style="3" customWidth="1"/>
    <col min="14107" max="14107" width="9.28515625" style="3" customWidth="1"/>
    <col min="14108" max="14108" width="12.5703125" style="3" customWidth="1"/>
    <col min="14109" max="14109" width="13.5703125" style="3" customWidth="1"/>
    <col min="14110" max="14110" width="18" style="3" customWidth="1"/>
    <col min="14111" max="14111" width="14.85546875" style="3" customWidth="1"/>
    <col min="14112" max="14112" width="10.85546875" style="3" customWidth="1"/>
    <col min="14113" max="14114" width="9.28515625" style="3" customWidth="1"/>
    <col min="14115" max="14115" width="11.42578125" style="3" customWidth="1"/>
    <col min="14116" max="14118" width="9.140625" style="3"/>
    <col min="14119" max="14119" width="16" style="3" customWidth="1"/>
    <col min="14120" max="14121" width="21" style="3" customWidth="1"/>
    <col min="14122" max="14122" width="22.140625" style="3" customWidth="1"/>
    <col min="14123" max="14123" width="19" style="3" customWidth="1"/>
    <col min="14124" max="14125" width="17.28515625" style="3" customWidth="1"/>
    <col min="14126" max="14126" width="18.85546875" style="3" customWidth="1"/>
    <col min="14127" max="14127" width="20" style="3" customWidth="1"/>
    <col min="14128" max="14336" width="9.140625" style="3"/>
    <col min="14337" max="14337" width="8.85546875" style="3" customWidth="1"/>
    <col min="14338" max="14338" width="13.85546875" style="3" customWidth="1"/>
    <col min="14339" max="14339" width="21.140625" style="3" customWidth="1"/>
    <col min="14340" max="14340" width="22.85546875" style="3" customWidth="1"/>
    <col min="14341" max="14341" width="19.85546875" style="3" customWidth="1"/>
    <col min="14342" max="14342" width="17.5703125" style="3" customWidth="1"/>
    <col min="14343" max="14343" width="15.140625" style="3" customWidth="1"/>
    <col min="14344" max="14344" width="19.28515625" style="3" customWidth="1"/>
    <col min="14345" max="14345" width="15.85546875" style="3" customWidth="1"/>
    <col min="14346" max="14346" width="19.7109375" style="3" customWidth="1"/>
    <col min="14347" max="14347" width="18.85546875" style="3" customWidth="1"/>
    <col min="14348" max="14348" width="19.7109375" style="3" customWidth="1"/>
    <col min="14349" max="14349" width="7.28515625" style="3" customWidth="1"/>
    <col min="14350" max="14350" width="12.85546875" style="3" customWidth="1"/>
    <col min="14351" max="14351" width="9.5703125" style="3" customWidth="1"/>
    <col min="14352" max="14352" width="20" style="3" customWidth="1"/>
    <col min="14353" max="14353" width="19.5703125" style="3" customWidth="1"/>
    <col min="14354" max="14354" width="23.5703125" style="3" customWidth="1"/>
    <col min="14355" max="14355" width="16.28515625" style="3" customWidth="1"/>
    <col min="14356" max="14356" width="14.28515625" style="3" customWidth="1"/>
    <col min="14357" max="14357" width="14.140625" style="3" customWidth="1"/>
    <col min="14358" max="14358" width="17.42578125" style="3" customWidth="1"/>
    <col min="14359" max="14359" width="19.28515625" style="3" customWidth="1"/>
    <col min="14360" max="14360" width="17.7109375" style="3" customWidth="1"/>
    <col min="14361" max="14361" width="21.85546875" style="3" customWidth="1"/>
    <col min="14362" max="14362" width="11.140625" style="3" customWidth="1"/>
    <col min="14363" max="14363" width="9.28515625" style="3" customWidth="1"/>
    <col min="14364" max="14364" width="12.5703125" style="3" customWidth="1"/>
    <col min="14365" max="14365" width="13.5703125" style="3" customWidth="1"/>
    <col min="14366" max="14366" width="18" style="3" customWidth="1"/>
    <col min="14367" max="14367" width="14.85546875" style="3" customWidth="1"/>
    <col min="14368" max="14368" width="10.85546875" style="3" customWidth="1"/>
    <col min="14369" max="14370" width="9.28515625" style="3" customWidth="1"/>
    <col min="14371" max="14371" width="11.42578125" style="3" customWidth="1"/>
    <col min="14372" max="14374" width="9.140625" style="3"/>
    <col min="14375" max="14375" width="16" style="3" customWidth="1"/>
    <col min="14376" max="14377" width="21" style="3" customWidth="1"/>
    <col min="14378" max="14378" width="22.140625" style="3" customWidth="1"/>
    <col min="14379" max="14379" width="19" style="3" customWidth="1"/>
    <col min="14380" max="14381" width="17.28515625" style="3" customWidth="1"/>
    <col min="14382" max="14382" width="18.85546875" style="3" customWidth="1"/>
    <col min="14383" max="14383" width="20" style="3" customWidth="1"/>
    <col min="14384" max="14592" width="9.140625" style="3"/>
    <col min="14593" max="14593" width="8.85546875" style="3" customWidth="1"/>
    <col min="14594" max="14594" width="13.85546875" style="3" customWidth="1"/>
    <col min="14595" max="14595" width="21.140625" style="3" customWidth="1"/>
    <col min="14596" max="14596" width="22.85546875" style="3" customWidth="1"/>
    <col min="14597" max="14597" width="19.85546875" style="3" customWidth="1"/>
    <col min="14598" max="14598" width="17.5703125" style="3" customWidth="1"/>
    <col min="14599" max="14599" width="15.140625" style="3" customWidth="1"/>
    <col min="14600" max="14600" width="19.28515625" style="3" customWidth="1"/>
    <col min="14601" max="14601" width="15.85546875" style="3" customWidth="1"/>
    <col min="14602" max="14602" width="19.7109375" style="3" customWidth="1"/>
    <col min="14603" max="14603" width="18.85546875" style="3" customWidth="1"/>
    <col min="14604" max="14604" width="19.7109375" style="3" customWidth="1"/>
    <col min="14605" max="14605" width="7.28515625" style="3" customWidth="1"/>
    <col min="14606" max="14606" width="12.85546875" style="3" customWidth="1"/>
    <col min="14607" max="14607" width="9.5703125" style="3" customWidth="1"/>
    <col min="14608" max="14608" width="20" style="3" customWidth="1"/>
    <col min="14609" max="14609" width="19.5703125" style="3" customWidth="1"/>
    <col min="14610" max="14610" width="23.5703125" style="3" customWidth="1"/>
    <col min="14611" max="14611" width="16.28515625" style="3" customWidth="1"/>
    <col min="14612" max="14612" width="14.28515625" style="3" customWidth="1"/>
    <col min="14613" max="14613" width="14.140625" style="3" customWidth="1"/>
    <col min="14614" max="14614" width="17.42578125" style="3" customWidth="1"/>
    <col min="14615" max="14615" width="19.28515625" style="3" customWidth="1"/>
    <col min="14616" max="14616" width="17.7109375" style="3" customWidth="1"/>
    <col min="14617" max="14617" width="21.85546875" style="3" customWidth="1"/>
    <col min="14618" max="14618" width="11.140625" style="3" customWidth="1"/>
    <col min="14619" max="14619" width="9.28515625" style="3" customWidth="1"/>
    <col min="14620" max="14620" width="12.5703125" style="3" customWidth="1"/>
    <col min="14621" max="14621" width="13.5703125" style="3" customWidth="1"/>
    <col min="14622" max="14622" width="18" style="3" customWidth="1"/>
    <col min="14623" max="14623" width="14.85546875" style="3" customWidth="1"/>
    <col min="14624" max="14624" width="10.85546875" style="3" customWidth="1"/>
    <col min="14625" max="14626" width="9.28515625" style="3" customWidth="1"/>
    <col min="14627" max="14627" width="11.42578125" style="3" customWidth="1"/>
    <col min="14628" max="14630" width="9.140625" style="3"/>
    <col min="14631" max="14631" width="16" style="3" customWidth="1"/>
    <col min="14632" max="14633" width="21" style="3" customWidth="1"/>
    <col min="14634" max="14634" width="22.140625" style="3" customWidth="1"/>
    <col min="14635" max="14635" width="19" style="3" customWidth="1"/>
    <col min="14636" max="14637" width="17.28515625" style="3" customWidth="1"/>
    <col min="14638" max="14638" width="18.85546875" style="3" customWidth="1"/>
    <col min="14639" max="14639" width="20" style="3" customWidth="1"/>
    <col min="14640" max="14848" width="9.140625" style="3"/>
    <col min="14849" max="14849" width="8.85546875" style="3" customWidth="1"/>
    <col min="14850" max="14850" width="13.85546875" style="3" customWidth="1"/>
    <col min="14851" max="14851" width="21.140625" style="3" customWidth="1"/>
    <col min="14852" max="14852" width="22.85546875" style="3" customWidth="1"/>
    <col min="14853" max="14853" width="19.85546875" style="3" customWidth="1"/>
    <col min="14854" max="14854" width="17.5703125" style="3" customWidth="1"/>
    <col min="14855" max="14855" width="15.140625" style="3" customWidth="1"/>
    <col min="14856" max="14856" width="19.28515625" style="3" customWidth="1"/>
    <col min="14857" max="14857" width="15.85546875" style="3" customWidth="1"/>
    <col min="14858" max="14858" width="19.7109375" style="3" customWidth="1"/>
    <col min="14859" max="14859" width="18.85546875" style="3" customWidth="1"/>
    <col min="14860" max="14860" width="19.7109375" style="3" customWidth="1"/>
    <col min="14861" max="14861" width="7.28515625" style="3" customWidth="1"/>
    <col min="14862" max="14862" width="12.85546875" style="3" customWidth="1"/>
    <col min="14863" max="14863" width="9.5703125" style="3" customWidth="1"/>
    <col min="14864" max="14864" width="20" style="3" customWidth="1"/>
    <col min="14865" max="14865" width="19.5703125" style="3" customWidth="1"/>
    <col min="14866" max="14866" width="23.5703125" style="3" customWidth="1"/>
    <col min="14867" max="14867" width="16.28515625" style="3" customWidth="1"/>
    <col min="14868" max="14868" width="14.28515625" style="3" customWidth="1"/>
    <col min="14869" max="14869" width="14.140625" style="3" customWidth="1"/>
    <col min="14870" max="14870" width="17.42578125" style="3" customWidth="1"/>
    <col min="14871" max="14871" width="19.28515625" style="3" customWidth="1"/>
    <col min="14872" max="14872" width="17.7109375" style="3" customWidth="1"/>
    <col min="14873" max="14873" width="21.85546875" style="3" customWidth="1"/>
    <col min="14874" max="14874" width="11.140625" style="3" customWidth="1"/>
    <col min="14875" max="14875" width="9.28515625" style="3" customWidth="1"/>
    <col min="14876" max="14876" width="12.5703125" style="3" customWidth="1"/>
    <col min="14877" max="14877" width="13.5703125" style="3" customWidth="1"/>
    <col min="14878" max="14878" width="18" style="3" customWidth="1"/>
    <col min="14879" max="14879" width="14.85546875" style="3" customWidth="1"/>
    <col min="14880" max="14880" width="10.85546875" style="3" customWidth="1"/>
    <col min="14881" max="14882" width="9.28515625" style="3" customWidth="1"/>
    <col min="14883" max="14883" width="11.42578125" style="3" customWidth="1"/>
    <col min="14884" max="14886" width="9.140625" style="3"/>
    <col min="14887" max="14887" width="16" style="3" customWidth="1"/>
    <col min="14888" max="14889" width="21" style="3" customWidth="1"/>
    <col min="14890" max="14890" width="22.140625" style="3" customWidth="1"/>
    <col min="14891" max="14891" width="19" style="3" customWidth="1"/>
    <col min="14892" max="14893" width="17.28515625" style="3" customWidth="1"/>
    <col min="14894" max="14894" width="18.85546875" style="3" customWidth="1"/>
    <col min="14895" max="14895" width="20" style="3" customWidth="1"/>
    <col min="14896" max="15104" width="9.140625" style="3"/>
    <col min="15105" max="15105" width="8.85546875" style="3" customWidth="1"/>
    <col min="15106" max="15106" width="13.85546875" style="3" customWidth="1"/>
    <col min="15107" max="15107" width="21.140625" style="3" customWidth="1"/>
    <col min="15108" max="15108" width="22.85546875" style="3" customWidth="1"/>
    <col min="15109" max="15109" width="19.85546875" style="3" customWidth="1"/>
    <col min="15110" max="15110" width="17.5703125" style="3" customWidth="1"/>
    <col min="15111" max="15111" width="15.140625" style="3" customWidth="1"/>
    <col min="15112" max="15112" width="19.28515625" style="3" customWidth="1"/>
    <col min="15113" max="15113" width="15.85546875" style="3" customWidth="1"/>
    <col min="15114" max="15114" width="19.7109375" style="3" customWidth="1"/>
    <col min="15115" max="15115" width="18.85546875" style="3" customWidth="1"/>
    <col min="15116" max="15116" width="19.7109375" style="3" customWidth="1"/>
    <col min="15117" max="15117" width="7.28515625" style="3" customWidth="1"/>
    <col min="15118" max="15118" width="12.85546875" style="3" customWidth="1"/>
    <col min="15119" max="15119" width="9.5703125" style="3" customWidth="1"/>
    <col min="15120" max="15120" width="20" style="3" customWidth="1"/>
    <col min="15121" max="15121" width="19.5703125" style="3" customWidth="1"/>
    <col min="15122" max="15122" width="23.5703125" style="3" customWidth="1"/>
    <col min="15123" max="15123" width="16.28515625" style="3" customWidth="1"/>
    <col min="15124" max="15124" width="14.28515625" style="3" customWidth="1"/>
    <col min="15125" max="15125" width="14.140625" style="3" customWidth="1"/>
    <col min="15126" max="15126" width="17.42578125" style="3" customWidth="1"/>
    <col min="15127" max="15127" width="19.28515625" style="3" customWidth="1"/>
    <col min="15128" max="15128" width="17.7109375" style="3" customWidth="1"/>
    <col min="15129" max="15129" width="21.85546875" style="3" customWidth="1"/>
    <col min="15130" max="15130" width="11.140625" style="3" customWidth="1"/>
    <col min="15131" max="15131" width="9.28515625" style="3" customWidth="1"/>
    <col min="15132" max="15132" width="12.5703125" style="3" customWidth="1"/>
    <col min="15133" max="15133" width="13.5703125" style="3" customWidth="1"/>
    <col min="15134" max="15134" width="18" style="3" customWidth="1"/>
    <col min="15135" max="15135" width="14.85546875" style="3" customWidth="1"/>
    <col min="15136" max="15136" width="10.85546875" style="3" customWidth="1"/>
    <col min="15137" max="15138" width="9.28515625" style="3" customWidth="1"/>
    <col min="15139" max="15139" width="11.42578125" style="3" customWidth="1"/>
    <col min="15140" max="15142" width="9.140625" style="3"/>
    <col min="15143" max="15143" width="16" style="3" customWidth="1"/>
    <col min="15144" max="15145" width="21" style="3" customWidth="1"/>
    <col min="15146" max="15146" width="22.140625" style="3" customWidth="1"/>
    <col min="15147" max="15147" width="19" style="3" customWidth="1"/>
    <col min="15148" max="15149" width="17.28515625" style="3" customWidth="1"/>
    <col min="15150" max="15150" width="18.85546875" style="3" customWidth="1"/>
    <col min="15151" max="15151" width="20" style="3" customWidth="1"/>
    <col min="15152" max="15360" width="9.140625" style="3"/>
    <col min="15361" max="15361" width="8.85546875" style="3" customWidth="1"/>
    <col min="15362" max="15362" width="13.85546875" style="3" customWidth="1"/>
    <col min="15363" max="15363" width="21.140625" style="3" customWidth="1"/>
    <col min="15364" max="15364" width="22.85546875" style="3" customWidth="1"/>
    <col min="15365" max="15365" width="19.85546875" style="3" customWidth="1"/>
    <col min="15366" max="15366" width="17.5703125" style="3" customWidth="1"/>
    <col min="15367" max="15367" width="15.140625" style="3" customWidth="1"/>
    <col min="15368" max="15368" width="19.28515625" style="3" customWidth="1"/>
    <col min="15369" max="15369" width="15.85546875" style="3" customWidth="1"/>
    <col min="15370" max="15370" width="19.7109375" style="3" customWidth="1"/>
    <col min="15371" max="15371" width="18.85546875" style="3" customWidth="1"/>
    <col min="15372" max="15372" width="19.7109375" style="3" customWidth="1"/>
    <col min="15373" max="15373" width="7.28515625" style="3" customWidth="1"/>
    <col min="15374" max="15374" width="12.85546875" style="3" customWidth="1"/>
    <col min="15375" max="15375" width="9.5703125" style="3" customWidth="1"/>
    <col min="15376" max="15376" width="20" style="3" customWidth="1"/>
    <col min="15377" max="15377" width="19.5703125" style="3" customWidth="1"/>
    <col min="15378" max="15378" width="23.5703125" style="3" customWidth="1"/>
    <col min="15379" max="15379" width="16.28515625" style="3" customWidth="1"/>
    <col min="15380" max="15380" width="14.28515625" style="3" customWidth="1"/>
    <col min="15381" max="15381" width="14.140625" style="3" customWidth="1"/>
    <col min="15382" max="15382" width="17.42578125" style="3" customWidth="1"/>
    <col min="15383" max="15383" width="19.28515625" style="3" customWidth="1"/>
    <col min="15384" max="15384" width="17.7109375" style="3" customWidth="1"/>
    <col min="15385" max="15385" width="21.85546875" style="3" customWidth="1"/>
    <col min="15386" max="15386" width="11.140625" style="3" customWidth="1"/>
    <col min="15387" max="15387" width="9.28515625" style="3" customWidth="1"/>
    <col min="15388" max="15388" width="12.5703125" style="3" customWidth="1"/>
    <col min="15389" max="15389" width="13.5703125" style="3" customWidth="1"/>
    <col min="15390" max="15390" width="18" style="3" customWidth="1"/>
    <col min="15391" max="15391" width="14.85546875" style="3" customWidth="1"/>
    <col min="15392" max="15392" width="10.85546875" style="3" customWidth="1"/>
    <col min="15393" max="15394" width="9.28515625" style="3" customWidth="1"/>
    <col min="15395" max="15395" width="11.42578125" style="3" customWidth="1"/>
    <col min="15396" max="15398" width="9.140625" style="3"/>
    <col min="15399" max="15399" width="16" style="3" customWidth="1"/>
    <col min="15400" max="15401" width="21" style="3" customWidth="1"/>
    <col min="15402" max="15402" width="22.140625" style="3" customWidth="1"/>
    <col min="15403" max="15403" width="19" style="3" customWidth="1"/>
    <col min="15404" max="15405" width="17.28515625" style="3" customWidth="1"/>
    <col min="15406" max="15406" width="18.85546875" style="3" customWidth="1"/>
    <col min="15407" max="15407" width="20" style="3" customWidth="1"/>
    <col min="15408" max="15616" width="9.140625" style="3"/>
    <col min="15617" max="15617" width="8.85546875" style="3" customWidth="1"/>
    <col min="15618" max="15618" width="13.85546875" style="3" customWidth="1"/>
    <col min="15619" max="15619" width="21.140625" style="3" customWidth="1"/>
    <col min="15620" max="15620" width="22.85546875" style="3" customWidth="1"/>
    <col min="15621" max="15621" width="19.85546875" style="3" customWidth="1"/>
    <col min="15622" max="15622" width="17.5703125" style="3" customWidth="1"/>
    <col min="15623" max="15623" width="15.140625" style="3" customWidth="1"/>
    <col min="15624" max="15624" width="19.28515625" style="3" customWidth="1"/>
    <col min="15625" max="15625" width="15.85546875" style="3" customWidth="1"/>
    <col min="15626" max="15626" width="19.7109375" style="3" customWidth="1"/>
    <col min="15627" max="15627" width="18.85546875" style="3" customWidth="1"/>
    <col min="15628" max="15628" width="19.7109375" style="3" customWidth="1"/>
    <col min="15629" max="15629" width="7.28515625" style="3" customWidth="1"/>
    <col min="15630" max="15630" width="12.85546875" style="3" customWidth="1"/>
    <col min="15631" max="15631" width="9.5703125" style="3" customWidth="1"/>
    <col min="15632" max="15632" width="20" style="3" customWidth="1"/>
    <col min="15633" max="15633" width="19.5703125" style="3" customWidth="1"/>
    <col min="15634" max="15634" width="23.5703125" style="3" customWidth="1"/>
    <col min="15635" max="15635" width="16.28515625" style="3" customWidth="1"/>
    <col min="15636" max="15636" width="14.28515625" style="3" customWidth="1"/>
    <col min="15637" max="15637" width="14.140625" style="3" customWidth="1"/>
    <col min="15638" max="15638" width="17.42578125" style="3" customWidth="1"/>
    <col min="15639" max="15639" width="19.28515625" style="3" customWidth="1"/>
    <col min="15640" max="15640" width="17.7109375" style="3" customWidth="1"/>
    <col min="15641" max="15641" width="21.85546875" style="3" customWidth="1"/>
    <col min="15642" max="15642" width="11.140625" style="3" customWidth="1"/>
    <col min="15643" max="15643" width="9.28515625" style="3" customWidth="1"/>
    <col min="15644" max="15644" width="12.5703125" style="3" customWidth="1"/>
    <col min="15645" max="15645" width="13.5703125" style="3" customWidth="1"/>
    <col min="15646" max="15646" width="18" style="3" customWidth="1"/>
    <col min="15647" max="15647" width="14.85546875" style="3" customWidth="1"/>
    <col min="15648" max="15648" width="10.85546875" style="3" customWidth="1"/>
    <col min="15649" max="15650" width="9.28515625" style="3" customWidth="1"/>
    <col min="15651" max="15651" width="11.42578125" style="3" customWidth="1"/>
    <col min="15652" max="15654" width="9.140625" style="3"/>
    <col min="15655" max="15655" width="16" style="3" customWidth="1"/>
    <col min="15656" max="15657" width="21" style="3" customWidth="1"/>
    <col min="15658" max="15658" width="22.140625" style="3" customWidth="1"/>
    <col min="15659" max="15659" width="19" style="3" customWidth="1"/>
    <col min="15660" max="15661" width="17.28515625" style="3" customWidth="1"/>
    <col min="15662" max="15662" width="18.85546875" style="3" customWidth="1"/>
    <col min="15663" max="15663" width="20" style="3" customWidth="1"/>
    <col min="15664" max="15872" width="9.140625" style="3"/>
    <col min="15873" max="15873" width="8.85546875" style="3" customWidth="1"/>
    <col min="15874" max="15874" width="13.85546875" style="3" customWidth="1"/>
    <col min="15875" max="15875" width="21.140625" style="3" customWidth="1"/>
    <col min="15876" max="15876" width="22.85546875" style="3" customWidth="1"/>
    <col min="15877" max="15877" width="19.85546875" style="3" customWidth="1"/>
    <col min="15878" max="15878" width="17.5703125" style="3" customWidth="1"/>
    <col min="15879" max="15879" width="15.140625" style="3" customWidth="1"/>
    <col min="15880" max="15880" width="19.28515625" style="3" customWidth="1"/>
    <col min="15881" max="15881" width="15.85546875" style="3" customWidth="1"/>
    <col min="15882" max="15882" width="19.7109375" style="3" customWidth="1"/>
    <col min="15883" max="15883" width="18.85546875" style="3" customWidth="1"/>
    <col min="15884" max="15884" width="19.7109375" style="3" customWidth="1"/>
    <col min="15885" max="15885" width="7.28515625" style="3" customWidth="1"/>
    <col min="15886" max="15886" width="12.85546875" style="3" customWidth="1"/>
    <col min="15887" max="15887" width="9.5703125" style="3" customWidth="1"/>
    <col min="15888" max="15888" width="20" style="3" customWidth="1"/>
    <col min="15889" max="15889" width="19.5703125" style="3" customWidth="1"/>
    <col min="15890" max="15890" width="23.5703125" style="3" customWidth="1"/>
    <col min="15891" max="15891" width="16.28515625" style="3" customWidth="1"/>
    <col min="15892" max="15892" width="14.28515625" style="3" customWidth="1"/>
    <col min="15893" max="15893" width="14.140625" style="3" customWidth="1"/>
    <col min="15894" max="15894" width="17.42578125" style="3" customWidth="1"/>
    <col min="15895" max="15895" width="19.28515625" style="3" customWidth="1"/>
    <col min="15896" max="15896" width="17.7109375" style="3" customWidth="1"/>
    <col min="15897" max="15897" width="21.85546875" style="3" customWidth="1"/>
    <col min="15898" max="15898" width="11.140625" style="3" customWidth="1"/>
    <col min="15899" max="15899" width="9.28515625" style="3" customWidth="1"/>
    <col min="15900" max="15900" width="12.5703125" style="3" customWidth="1"/>
    <col min="15901" max="15901" width="13.5703125" style="3" customWidth="1"/>
    <col min="15902" max="15902" width="18" style="3" customWidth="1"/>
    <col min="15903" max="15903" width="14.85546875" style="3" customWidth="1"/>
    <col min="15904" max="15904" width="10.85546875" style="3" customWidth="1"/>
    <col min="15905" max="15906" width="9.28515625" style="3" customWidth="1"/>
    <col min="15907" max="15907" width="11.42578125" style="3" customWidth="1"/>
    <col min="15908" max="15910" width="9.140625" style="3"/>
    <col min="15911" max="15911" width="16" style="3" customWidth="1"/>
    <col min="15912" max="15913" width="21" style="3" customWidth="1"/>
    <col min="15914" max="15914" width="22.140625" style="3" customWidth="1"/>
    <col min="15915" max="15915" width="19" style="3" customWidth="1"/>
    <col min="15916" max="15917" width="17.28515625" style="3" customWidth="1"/>
    <col min="15918" max="15918" width="18.85546875" style="3" customWidth="1"/>
    <col min="15919" max="15919" width="20" style="3" customWidth="1"/>
    <col min="15920" max="16128" width="9.140625" style="3"/>
    <col min="16129" max="16129" width="8.85546875" style="3" customWidth="1"/>
    <col min="16130" max="16130" width="13.85546875" style="3" customWidth="1"/>
    <col min="16131" max="16131" width="21.140625" style="3" customWidth="1"/>
    <col min="16132" max="16132" width="22.85546875" style="3" customWidth="1"/>
    <col min="16133" max="16133" width="19.85546875" style="3" customWidth="1"/>
    <col min="16134" max="16134" width="17.5703125" style="3" customWidth="1"/>
    <col min="16135" max="16135" width="15.140625" style="3" customWidth="1"/>
    <col min="16136" max="16136" width="19.28515625" style="3" customWidth="1"/>
    <col min="16137" max="16137" width="15.85546875" style="3" customWidth="1"/>
    <col min="16138" max="16138" width="19.7109375" style="3" customWidth="1"/>
    <col min="16139" max="16139" width="18.85546875" style="3" customWidth="1"/>
    <col min="16140" max="16140" width="19.7109375" style="3" customWidth="1"/>
    <col min="16141" max="16141" width="7.28515625" style="3" customWidth="1"/>
    <col min="16142" max="16142" width="12.85546875" style="3" customWidth="1"/>
    <col min="16143" max="16143" width="9.5703125" style="3" customWidth="1"/>
    <col min="16144" max="16144" width="20" style="3" customWidth="1"/>
    <col min="16145" max="16145" width="19.5703125" style="3" customWidth="1"/>
    <col min="16146" max="16146" width="23.5703125" style="3" customWidth="1"/>
    <col min="16147" max="16147" width="16.28515625" style="3" customWidth="1"/>
    <col min="16148" max="16148" width="14.28515625" style="3" customWidth="1"/>
    <col min="16149" max="16149" width="14.140625" style="3" customWidth="1"/>
    <col min="16150" max="16150" width="17.42578125" style="3" customWidth="1"/>
    <col min="16151" max="16151" width="19.28515625" style="3" customWidth="1"/>
    <col min="16152" max="16152" width="17.7109375" style="3" customWidth="1"/>
    <col min="16153" max="16153" width="21.85546875" style="3" customWidth="1"/>
    <col min="16154" max="16154" width="11.140625" style="3" customWidth="1"/>
    <col min="16155" max="16155" width="9.28515625" style="3" customWidth="1"/>
    <col min="16156" max="16156" width="12.5703125" style="3" customWidth="1"/>
    <col min="16157" max="16157" width="13.5703125" style="3" customWidth="1"/>
    <col min="16158" max="16158" width="18" style="3" customWidth="1"/>
    <col min="16159" max="16159" width="14.85546875" style="3" customWidth="1"/>
    <col min="16160" max="16160" width="10.85546875" style="3" customWidth="1"/>
    <col min="16161" max="16162" width="9.28515625" style="3" customWidth="1"/>
    <col min="16163" max="16163" width="11.42578125" style="3" customWidth="1"/>
    <col min="16164" max="16166" width="9.140625" style="3"/>
    <col min="16167" max="16167" width="16" style="3" customWidth="1"/>
    <col min="16168" max="16169" width="21" style="3" customWidth="1"/>
    <col min="16170" max="16170" width="22.140625" style="3" customWidth="1"/>
    <col min="16171" max="16171" width="19" style="3" customWidth="1"/>
    <col min="16172" max="16173" width="17.28515625" style="3" customWidth="1"/>
    <col min="16174" max="16174" width="18.85546875" style="3" customWidth="1"/>
    <col min="16175" max="16175" width="20" style="3" customWidth="1"/>
    <col min="16176" max="16384" width="9.140625" style="3"/>
  </cols>
  <sheetData>
    <row r="1" spans="1:48" ht="21" customHeight="1" thickBot="1">
      <c r="A1" s="1" t="s">
        <v>0</v>
      </c>
      <c r="B1" s="2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T1" s="2" t="s">
        <v>2</v>
      </c>
      <c r="U1" s="5"/>
      <c r="AA1" s="2" t="s">
        <v>2</v>
      </c>
      <c r="AB1" s="5"/>
    </row>
    <row r="2" spans="1:48" ht="21" customHeight="1" thickBot="1">
      <c r="S2" s="6" t="s">
        <v>3</v>
      </c>
      <c r="T2" s="7" t="s">
        <v>4</v>
      </c>
      <c r="U2" s="8" t="s">
        <v>5</v>
      </c>
      <c r="V2" s="8" t="s">
        <v>6</v>
      </c>
      <c r="W2" s="8" t="s">
        <v>7</v>
      </c>
      <c r="X2" s="8" t="s">
        <v>8</v>
      </c>
      <c r="Z2" s="6" t="s">
        <v>3</v>
      </c>
      <c r="AA2" s="7" t="s">
        <v>4</v>
      </c>
      <c r="AB2" s="8" t="s">
        <v>5</v>
      </c>
      <c r="AC2" s="8" t="s">
        <v>6</v>
      </c>
      <c r="AD2" s="8" t="s">
        <v>7</v>
      </c>
      <c r="AE2" s="8" t="s">
        <v>8</v>
      </c>
    </row>
    <row r="3" spans="1:48" ht="21" customHeight="1" thickBot="1">
      <c r="A3" s="9" t="s">
        <v>9</v>
      </c>
      <c r="B3" s="10" t="s">
        <v>10</v>
      </c>
      <c r="C3" s="11"/>
      <c r="D3" s="12"/>
      <c r="K3" s="13"/>
      <c r="L3" s="14"/>
      <c r="M3" s="13"/>
      <c r="N3" s="13"/>
      <c r="O3" s="13"/>
      <c r="P3" s="15"/>
      <c r="S3" s="16">
        <v>1</v>
      </c>
      <c r="T3" s="7">
        <v>15</v>
      </c>
      <c r="U3" s="17">
        <v>2</v>
      </c>
      <c r="V3" s="8">
        <v>20.55</v>
      </c>
      <c r="W3" s="8">
        <f t="shared" ref="W3:W28" si="0">SUM(S3*V3)-(S3*0.25)</f>
        <v>20.3</v>
      </c>
      <c r="X3" s="18">
        <f t="shared" ref="X3:X29" si="1">SUM(S3*0.25)</f>
        <v>0.25</v>
      </c>
      <c r="Z3" s="16"/>
      <c r="AA3" s="7"/>
      <c r="AB3" s="17"/>
      <c r="AC3" s="8"/>
      <c r="AD3" s="8">
        <f t="shared" ref="AD3:AD32" si="2">SUM(Z3*AC3)-(Z3*0.25)</f>
        <v>0</v>
      </c>
      <c r="AE3" s="18">
        <f t="shared" ref="AE3:AE37" si="3">SUM(Z3*0.25)</f>
        <v>0</v>
      </c>
    </row>
    <row r="4" spans="1:48" ht="21" customHeight="1" thickBot="1">
      <c r="A4" s="9" t="s">
        <v>11</v>
      </c>
      <c r="B4" s="19" t="s">
        <v>12</v>
      </c>
      <c r="C4" s="20"/>
      <c r="D4" s="21"/>
      <c r="K4" s="13" t="s">
        <v>13</v>
      </c>
      <c r="L4" s="13" t="s">
        <v>14</v>
      </c>
      <c r="M4" s="13"/>
      <c r="N4" s="13"/>
      <c r="O4" s="13"/>
      <c r="P4" s="13"/>
      <c r="S4" s="16">
        <v>1</v>
      </c>
      <c r="T4" s="7">
        <v>27</v>
      </c>
      <c r="U4" s="17">
        <v>2</v>
      </c>
      <c r="V4" s="8">
        <v>39.200000000000003</v>
      </c>
      <c r="W4" s="8">
        <f>SUM(S4*V4)-(S4*0.25)</f>
        <v>38.950000000000003</v>
      </c>
      <c r="X4" s="18">
        <f t="shared" si="1"/>
        <v>0.25</v>
      </c>
      <c r="Z4" s="16"/>
      <c r="AA4" s="7"/>
      <c r="AB4" s="17"/>
      <c r="AC4" s="8"/>
      <c r="AD4" s="8">
        <f t="shared" si="2"/>
        <v>0</v>
      </c>
      <c r="AE4" s="18">
        <f t="shared" si="3"/>
        <v>0</v>
      </c>
    </row>
    <row r="5" spans="1:48" ht="21" customHeight="1" thickBot="1">
      <c r="A5" s="9"/>
      <c r="B5" s="19" t="s">
        <v>15</v>
      </c>
      <c r="C5" s="20"/>
      <c r="D5" s="22"/>
      <c r="S5" s="16">
        <v>1</v>
      </c>
      <c r="T5" s="7">
        <v>28</v>
      </c>
      <c r="U5" s="17">
        <v>2</v>
      </c>
      <c r="V5" s="8">
        <v>40.200000000000003</v>
      </c>
      <c r="W5" s="8">
        <f>SUM(S5*V5)-(S5*0.25)</f>
        <v>39.950000000000003</v>
      </c>
      <c r="X5" s="18">
        <f t="shared" si="1"/>
        <v>0.25</v>
      </c>
      <c r="Z5" s="16"/>
      <c r="AA5" s="7"/>
      <c r="AB5" s="17"/>
      <c r="AC5" s="8"/>
      <c r="AD5" s="8">
        <f t="shared" si="2"/>
        <v>0</v>
      </c>
      <c r="AE5" s="18">
        <f t="shared" si="3"/>
        <v>0</v>
      </c>
    </row>
    <row r="6" spans="1:48" ht="21" customHeight="1" thickBot="1">
      <c r="A6" s="9"/>
      <c r="B6" s="23" t="s">
        <v>16</v>
      </c>
      <c r="C6" s="24"/>
      <c r="D6" s="25"/>
      <c r="S6" s="16">
        <v>1</v>
      </c>
      <c r="T6" s="7">
        <v>29</v>
      </c>
      <c r="U6" s="17">
        <v>2</v>
      </c>
      <c r="V6" s="8">
        <v>41.25</v>
      </c>
      <c r="W6" s="8">
        <f t="shared" si="0"/>
        <v>41</v>
      </c>
      <c r="X6" s="18">
        <f t="shared" si="1"/>
        <v>0.25</v>
      </c>
      <c r="Z6" s="26"/>
      <c r="AA6" s="16"/>
      <c r="AB6" s="27"/>
      <c r="AC6" s="28"/>
      <c r="AD6" s="8">
        <f t="shared" si="2"/>
        <v>0</v>
      </c>
      <c r="AE6" s="18">
        <f t="shared" si="3"/>
        <v>0</v>
      </c>
    </row>
    <row r="7" spans="1:48" ht="21" customHeight="1" thickBot="1">
      <c r="A7" s="9"/>
      <c r="B7" s="13"/>
      <c r="C7" s="13"/>
      <c r="J7" t="s">
        <v>17</v>
      </c>
      <c r="S7" s="16">
        <v>1</v>
      </c>
      <c r="T7" s="7">
        <v>13</v>
      </c>
      <c r="U7" s="17">
        <v>3</v>
      </c>
      <c r="V7" s="8">
        <v>19.899999999999999</v>
      </c>
      <c r="W7" s="8">
        <f t="shared" si="0"/>
        <v>19.649999999999999</v>
      </c>
      <c r="X7" s="18">
        <f t="shared" si="1"/>
        <v>0.25</v>
      </c>
      <c r="Z7" s="26"/>
      <c r="AA7" s="16"/>
      <c r="AB7" s="27"/>
      <c r="AC7" s="28"/>
      <c r="AD7" s="8">
        <f t="shared" si="2"/>
        <v>0</v>
      </c>
      <c r="AE7" s="18">
        <f t="shared" si="3"/>
        <v>0</v>
      </c>
    </row>
    <row r="8" spans="1:48" ht="21" customHeight="1" thickBot="1">
      <c r="A8" s="9" t="s">
        <v>18</v>
      </c>
      <c r="B8" s="13" t="s">
        <v>19</v>
      </c>
      <c r="C8" s="13"/>
      <c r="J8" s="3" t="s">
        <v>20</v>
      </c>
      <c r="O8" s="29"/>
      <c r="P8" s="30"/>
      <c r="Q8" s="5"/>
      <c r="R8" s="5"/>
      <c r="S8" s="16">
        <v>1</v>
      </c>
      <c r="T8" s="7">
        <v>14</v>
      </c>
      <c r="U8" s="17">
        <v>3</v>
      </c>
      <c r="V8" s="8">
        <v>20.45</v>
      </c>
      <c r="W8" s="8">
        <f t="shared" si="0"/>
        <v>20.2</v>
      </c>
      <c r="X8" s="18">
        <f t="shared" si="1"/>
        <v>0.25</v>
      </c>
      <c r="Z8" s="26"/>
      <c r="AA8" s="16"/>
      <c r="AB8" s="27"/>
      <c r="AC8" s="28"/>
      <c r="AD8" s="8">
        <f t="shared" si="2"/>
        <v>0</v>
      </c>
      <c r="AE8" s="18">
        <f t="shared" si="3"/>
        <v>0</v>
      </c>
    </row>
    <row r="9" spans="1:48" ht="21" customHeight="1" thickBot="1">
      <c r="A9" s="9" t="s">
        <v>21</v>
      </c>
      <c r="B9" s="13" t="s">
        <v>22</v>
      </c>
      <c r="C9" s="13"/>
      <c r="D9" s="31"/>
      <c r="O9" s="30"/>
      <c r="P9" s="30"/>
      <c r="Q9" s="32"/>
      <c r="R9" s="5"/>
      <c r="S9" s="16">
        <v>1</v>
      </c>
      <c r="T9" s="7">
        <v>16</v>
      </c>
      <c r="U9" s="17">
        <v>3</v>
      </c>
      <c r="V9" s="8">
        <v>22.05</v>
      </c>
      <c r="W9" s="8">
        <f t="shared" si="0"/>
        <v>21.8</v>
      </c>
      <c r="X9" s="18">
        <f t="shared" si="1"/>
        <v>0.25</v>
      </c>
      <c r="Z9" s="26"/>
      <c r="AA9" s="16"/>
      <c r="AB9" s="27"/>
      <c r="AC9" s="28"/>
      <c r="AD9" s="8">
        <f t="shared" si="2"/>
        <v>0</v>
      </c>
      <c r="AE9" s="18">
        <f t="shared" si="3"/>
        <v>0</v>
      </c>
    </row>
    <row r="10" spans="1:48" ht="21" customHeight="1" thickBot="1">
      <c r="A10" s="9" t="s">
        <v>23</v>
      </c>
      <c r="B10" s="33" t="s">
        <v>24</v>
      </c>
      <c r="D10" s="34"/>
      <c r="E10" s="34"/>
      <c r="F10" s="34"/>
      <c r="G10" s="35"/>
      <c r="H10" s="35"/>
      <c r="I10" s="35"/>
      <c r="J10" s="35"/>
      <c r="K10" s="34"/>
      <c r="L10" s="34"/>
      <c r="M10" s="34"/>
      <c r="N10" s="34"/>
      <c r="O10" s="30"/>
      <c r="P10" s="30" t="s">
        <v>25</v>
      </c>
      <c r="Q10" s="32"/>
      <c r="R10" s="5"/>
      <c r="S10" s="16">
        <v>1</v>
      </c>
      <c r="T10" s="7">
        <v>17</v>
      </c>
      <c r="U10" s="17">
        <v>3</v>
      </c>
      <c r="V10" s="8">
        <v>22.8</v>
      </c>
      <c r="W10" s="8">
        <f t="shared" si="0"/>
        <v>22.55</v>
      </c>
      <c r="X10" s="18">
        <f t="shared" si="1"/>
        <v>0.25</v>
      </c>
      <c r="Z10" s="26"/>
      <c r="AA10" s="16"/>
      <c r="AB10" s="27"/>
      <c r="AC10" s="28"/>
      <c r="AD10" s="8"/>
      <c r="AE10" s="18">
        <f t="shared" si="3"/>
        <v>0</v>
      </c>
    </row>
    <row r="11" spans="1:48" ht="21" customHeight="1" thickBot="1">
      <c r="D11" s="34"/>
      <c r="E11" s="34"/>
      <c r="F11" s="36"/>
      <c r="G11" s="35" t="s">
        <v>26</v>
      </c>
      <c r="H11" s="37"/>
      <c r="I11" s="37"/>
      <c r="J11" s="37"/>
      <c r="K11" s="38"/>
      <c r="L11" s="38"/>
      <c r="M11" s="38"/>
      <c r="N11" s="38"/>
      <c r="O11" s="30"/>
      <c r="P11" s="30" t="s">
        <v>27</v>
      </c>
      <c r="Q11" s="32"/>
      <c r="R11" s="5"/>
      <c r="S11" s="16">
        <v>1</v>
      </c>
      <c r="T11" s="7">
        <v>18</v>
      </c>
      <c r="U11" s="17">
        <v>3</v>
      </c>
      <c r="V11" s="8">
        <v>23.55</v>
      </c>
      <c r="W11" s="8">
        <f t="shared" si="0"/>
        <v>23.3</v>
      </c>
      <c r="X11" s="18">
        <f t="shared" si="1"/>
        <v>0.25</v>
      </c>
      <c r="Z11" s="26"/>
      <c r="AA11" s="16"/>
      <c r="AB11" s="27"/>
      <c r="AC11" s="28"/>
      <c r="AD11" s="8"/>
      <c r="AE11" s="18">
        <f t="shared" si="3"/>
        <v>0</v>
      </c>
    </row>
    <row r="12" spans="1:48" ht="21" customHeight="1" thickBot="1">
      <c r="C12" s="39" t="s">
        <v>28</v>
      </c>
      <c r="E12" s="40" t="s">
        <v>29</v>
      </c>
      <c r="F12" s="41"/>
      <c r="H12" s="2"/>
      <c r="I12" s="2"/>
      <c r="J12" s="42" t="s">
        <v>30</v>
      </c>
      <c r="K12" s="2"/>
      <c r="L12" s="39" t="s">
        <v>31</v>
      </c>
      <c r="O12" s="30"/>
      <c r="P12" s="30"/>
      <c r="Q12" s="32"/>
      <c r="R12" s="5"/>
      <c r="S12" s="16">
        <v>1</v>
      </c>
      <c r="T12" s="7">
        <v>26</v>
      </c>
      <c r="U12" s="17">
        <v>3</v>
      </c>
      <c r="V12" s="8">
        <v>42.2</v>
      </c>
      <c r="W12" s="8">
        <f t="shared" si="0"/>
        <v>41.95</v>
      </c>
      <c r="X12" s="18">
        <f t="shared" si="1"/>
        <v>0.25</v>
      </c>
      <c r="Y12" s="30" t="s">
        <v>32</v>
      </c>
      <c r="Z12" s="26"/>
      <c r="AA12" s="16"/>
      <c r="AB12" s="27"/>
      <c r="AC12" s="28"/>
      <c r="AD12" s="8"/>
      <c r="AE12" s="18">
        <f t="shared" si="3"/>
        <v>0</v>
      </c>
    </row>
    <row r="13" spans="1:48" ht="21" customHeight="1" thickBot="1">
      <c r="C13" s="43">
        <v>-14888.44</v>
      </c>
      <c r="E13" s="44">
        <v>0</v>
      </c>
      <c r="F13" s="45"/>
      <c r="G13" s="46"/>
      <c r="H13" s="47"/>
      <c r="I13" s="47"/>
      <c r="J13" s="48">
        <f>K65</f>
        <v>5759.1999999999989</v>
      </c>
      <c r="K13" s="47"/>
      <c r="L13" s="49">
        <f>SUM(C13-J13)</f>
        <v>-20647.64</v>
      </c>
      <c r="M13" s="47"/>
      <c r="N13" s="30"/>
      <c r="O13" s="30"/>
      <c r="P13" s="30"/>
      <c r="Q13" s="32"/>
      <c r="R13" s="5"/>
      <c r="S13" s="16">
        <v>1</v>
      </c>
      <c r="T13" s="7">
        <v>28</v>
      </c>
      <c r="U13" s="17">
        <v>3</v>
      </c>
      <c r="V13" s="8">
        <v>45.05</v>
      </c>
      <c r="W13" s="8">
        <f t="shared" si="0"/>
        <v>44.8</v>
      </c>
      <c r="X13" s="18">
        <f t="shared" si="1"/>
        <v>0.25</v>
      </c>
      <c r="Y13" s="30" t="s">
        <v>27</v>
      </c>
      <c r="Z13" s="26"/>
      <c r="AA13" s="16"/>
      <c r="AB13" s="27"/>
      <c r="AC13" s="28"/>
      <c r="AD13" s="8"/>
      <c r="AE13" s="18">
        <f t="shared" si="3"/>
        <v>0</v>
      </c>
    </row>
    <row r="14" spans="1:48" ht="21" customHeight="1" thickBot="1">
      <c r="A14" s="50" t="s">
        <v>33</v>
      </c>
      <c r="B14" s="51"/>
      <c r="C14" s="52"/>
      <c r="D14" s="53">
        <v>46045</v>
      </c>
      <c r="E14" s="54" t="s">
        <v>34</v>
      </c>
      <c r="F14" s="55"/>
      <c r="G14" s="56"/>
      <c r="H14" s="56"/>
      <c r="I14" s="56"/>
      <c r="J14" s="56"/>
      <c r="K14" s="57"/>
      <c r="L14" s="58"/>
      <c r="O14" s="30"/>
      <c r="P14" s="30"/>
      <c r="Q14" s="32"/>
      <c r="R14" s="5"/>
      <c r="S14" s="16">
        <v>1</v>
      </c>
      <c r="T14" s="7">
        <v>32</v>
      </c>
      <c r="U14" s="17">
        <v>3</v>
      </c>
      <c r="V14" s="8">
        <v>49.7</v>
      </c>
      <c r="W14" s="8">
        <f t="shared" si="0"/>
        <v>49.45</v>
      </c>
      <c r="X14" s="18">
        <f t="shared" si="1"/>
        <v>0.25</v>
      </c>
      <c r="Z14" s="26"/>
      <c r="AA14" s="16"/>
      <c r="AB14" s="27"/>
      <c r="AC14" s="28"/>
      <c r="AD14" s="8"/>
      <c r="AE14" s="18">
        <f t="shared" si="3"/>
        <v>0</v>
      </c>
      <c r="AF14" s="59"/>
      <c r="AG14" s="59"/>
      <c r="AH14" s="59"/>
      <c r="AI14" s="59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</row>
    <row r="15" spans="1:48" ht="21" customHeight="1" thickBot="1">
      <c r="A15" s="50" t="s">
        <v>35</v>
      </c>
      <c r="B15" s="60"/>
      <c r="C15" s="61"/>
      <c r="D15" s="62" t="s">
        <v>36</v>
      </c>
      <c r="E15" s="63" t="s">
        <v>37</v>
      </c>
      <c r="F15" s="64" t="s">
        <v>38</v>
      </c>
      <c r="G15" s="63"/>
      <c r="H15" s="63" t="s">
        <v>37</v>
      </c>
      <c r="I15" s="65" t="s">
        <v>39</v>
      </c>
      <c r="J15" s="65"/>
      <c r="K15" s="66" t="s">
        <v>40</v>
      </c>
      <c r="L15" s="67" t="s">
        <v>8</v>
      </c>
      <c r="O15" s="30"/>
      <c r="P15" s="30"/>
      <c r="Q15" s="32"/>
      <c r="R15" s="5"/>
      <c r="S15" s="16">
        <v>2</v>
      </c>
      <c r="T15" s="7">
        <v>13</v>
      </c>
      <c r="U15" s="17">
        <v>4</v>
      </c>
      <c r="V15" s="8">
        <v>22.6</v>
      </c>
      <c r="W15" s="8">
        <f t="shared" si="0"/>
        <v>44.7</v>
      </c>
      <c r="X15" s="18">
        <f t="shared" si="1"/>
        <v>0.5</v>
      </c>
      <c r="Z15" s="26"/>
      <c r="AA15" s="16"/>
      <c r="AB15" s="27"/>
      <c r="AC15" s="28"/>
      <c r="AD15" s="8"/>
      <c r="AE15" s="18">
        <f t="shared" si="3"/>
        <v>0</v>
      </c>
      <c r="AF15" s="59"/>
      <c r="AG15" s="59"/>
      <c r="AH15" s="59"/>
      <c r="AI15" s="59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spans="1:48" ht="21" customHeight="1" thickBot="1">
      <c r="A16" s="50"/>
      <c r="B16" s="60"/>
      <c r="C16" s="61"/>
      <c r="D16" s="62"/>
      <c r="E16" s="68" t="s">
        <v>41</v>
      </c>
      <c r="F16" s="69" t="s">
        <v>41</v>
      </c>
      <c r="G16" s="70" t="s">
        <v>3</v>
      </c>
      <c r="H16" s="71" t="s">
        <v>42</v>
      </c>
      <c r="I16" s="69" t="s">
        <v>42</v>
      </c>
      <c r="J16" s="70" t="s">
        <v>3</v>
      </c>
      <c r="K16" s="72"/>
      <c r="L16" s="73"/>
      <c r="O16" s="30"/>
      <c r="P16" s="30"/>
      <c r="Q16" s="32"/>
      <c r="R16" s="5"/>
      <c r="S16" s="16">
        <v>1</v>
      </c>
      <c r="T16" s="7">
        <v>20</v>
      </c>
      <c r="U16" s="17">
        <v>4</v>
      </c>
      <c r="V16" s="8">
        <v>28.8</v>
      </c>
      <c r="W16" s="8">
        <f t="shared" si="0"/>
        <v>28.55</v>
      </c>
      <c r="X16" s="18">
        <f t="shared" si="1"/>
        <v>0.25</v>
      </c>
      <c r="Z16" s="26"/>
      <c r="AA16" s="16"/>
      <c r="AB16" s="27"/>
      <c r="AC16" s="28"/>
      <c r="AD16" s="8"/>
      <c r="AE16" s="18">
        <f t="shared" si="3"/>
        <v>0</v>
      </c>
      <c r="AF16" s="59"/>
      <c r="AG16" s="59"/>
      <c r="AH16" s="59"/>
      <c r="AI16" s="59"/>
      <c r="AJ16" s="34"/>
      <c r="AK16" s="34"/>
      <c r="AL16" s="34"/>
      <c r="AM16" s="74"/>
      <c r="AN16" s="75"/>
      <c r="AO16" s="75"/>
      <c r="AP16" s="59"/>
      <c r="AQ16" s="59"/>
      <c r="AR16" s="59"/>
      <c r="AS16" s="59"/>
      <c r="AT16" s="60"/>
      <c r="AU16" s="76"/>
      <c r="AV16" s="34"/>
    </row>
    <row r="17" spans="1:48" ht="21" customHeight="1" thickBot="1">
      <c r="A17" s="50" t="s">
        <v>43</v>
      </c>
      <c r="B17" s="77" t="s">
        <v>44</v>
      </c>
      <c r="C17" s="78"/>
      <c r="D17" s="62" t="s">
        <v>45</v>
      </c>
      <c r="E17" s="79">
        <v>10.199999999999999</v>
      </c>
      <c r="F17" s="80">
        <v>10.149999999999999</v>
      </c>
      <c r="G17" s="2">
        <v>185</v>
      </c>
      <c r="H17" s="79">
        <v>10.8</v>
      </c>
      <c r="I17" s="81">
        <v>10.55</v>
      </c>
      <c r="J17" s="82">
        <v>0</v>
      </c>
      <c r="K17" s="83">
        <v>1877.7499999999998</v>
      </c>
      <c r="L17" s="84">
        <v>46.25</v>
      </c>
      <c r="O17" s="30"/>
      <c r="P17" s="30"/>
      <c r="Q17" s="32"/>
      <c r="R17" s="5"/>
      <c r="S17" s="16">
        <v>1</v>
      </c>
      <c r="T17" s="7">
        <v>23</v>
      </c>
      <c r="U17" s="17">
        <v>4</v>
      </c>
      <c r="V17" s="8">
        <v>45.55</v>
      </c>
      <c r="W17" s="8">
        <f t="shared" si="0"/>
        <v>45.3</v>
      </c>
      <c r="X17" s="18">
        <f t="shared" si="1"/>
        <v>0.25</v>
      </c>
      <c r="Z17" s="26"/>
      <c r="AA17" s="16"/>
      <c r="AB17" s="27"/>
      <c r="AC17" s="28"/>
      <c r="AD17" s="8"/>
      <c r="AE17" s="18">
        <f t="shared" si="3"/>
        <v>0</v>
      </c>
      <c r="AF17" s="59"/>
      <c r="AG17" s="59"/>
      <c r="AH17" s="59"/>
      <c r="AI17" s="59"/>
      <c r="AJ17" s="34"/>
      <c r="AK17" s="34"/>
      <c r="AL17" s="34"/>
      <c r="AM17" s="85"/>
      <c r="AN17" s="86"/>
      <c r="AO17" s="87"/>
      <c r="AP17" s="86"/>
      <c r="AQ17" s="86"/>
      <c r="AR17" s="85"/>
      <c r="AS17" s="85"/>
      <c r="AT17" s="88"/>
      <c r="AU17" s="88"/>
      <c r="AV17" s="34"/>
    </row>
    <row r="18" spans="1:48" ht="21" customHeight="1" thickBot="1">
      <c r="A18" s="50" t="s">
        <v>46</v>
      </c>
      <c r="B18" s="89" t="s">
        <v>47</v>
      </c>
      <c r="C18" s="78"/>
      <c r="D18" s="62" t="s">
        <v>48</v>
      </c>
      <c r="E18" s="90">
        <v>11.05</v>
      </c>
      <c r="F18" s="80">
        <v>10.8</v>
      </c>
      <c r="G18" s="2">
        <v>11</v>
      </c>
      <c r="H18" s="90">
        <v>12.45</v>
      </c>
      <c r="I18" s="81">
        <v>12.2</v>
      </c>
      <c r="J18" s="82">
        <v>62</v>
      </c>
      <c r="K18" s="83">
        <v>875.2</v>
      </c>
      <c r="L18" s="84">
        <v>18.25</v>
      </c>
      <c r="O18" s="30"/>
      <c r="P18" s="30"/>
      <c r="Q18" s="32"/>
      <c r="R18" s="5"/>
      <c r="S18" s="16">
        <v>1</v>
      </c>
      <c r="T18" s="7">
        <v>24</v>
      </c>
      <c r="U18" s="17">
        <v>4</v>
      </c>
      <c r="V18" s="8">
        <v>47.65</v>
      </c>
      <c r="W18" s="8">
        <f t="shared" si="0"/>
        <v>47.4</v>
      </c>
      <c r="X18" s="18">
        <f t="shared" si="1"/>
        <v>0.25</v>
      </c>
      <c r="Z18" s="26"/>
      <c r="AA18" s="16"/>
      <c r="AB18" s="27"/>
      <c r="AC18" s="28"/>
      <c r="AD18" s="8"/>
      <c r="AE18" s="18">
        <f t="shared" si="3"/>
        <v>0</v>
      </c>
      <c r="AF18" s="59"/>
      <c r="AG18" s="91"/>
      <c r="AH18" s="92"/>
      <c r="AI18" s="92"/>
      <c r="AJ18" s="34"/>
      <c r="AK18" s="34"/>
      <c r="AL18" s="34"/>
      <c r="AM18" s="85"/>
      <c r="AN18" s="86"/>
      <c r="AO18" s="93"/>
      <c r="AP18" s="94"/>
      <c r="AQ18" s="86"/>
      <c r="AR18" s="93"/>
      <c r="AS18" s="94"/>
      <c r="AT18" s="95"/>
      <c r="AU18" s="96"/>
      <c r="AV18" s="34"/>
    </row>
    <row r="19" spans="1:48" ht="21" customHeight="1" thickBot="1">
      <c r="A19" s="50" t="s">
        <v>49</v>
      </c>
      <c r="B19" s="92" t="s">
        <v>50</v>
      </c>
      <c r="C19" s="60"/>
      <c r="D19" s="62" t="s">
        <v>51</v>
      </c>
      <c r="E19" s="90">
        <v>11.55</v>
      </c>
      <c r="F19" s="80">
        <v>11.3</v>
      </c>
      <c r="G19" s="2">
        <v>1</v>
      </c>
      <c r="H19" s="90">
        <v>12.95</v>
      </c>
      <c r="I19" s="81">
        <v>12.7</v>
      </c>
      <c r="J19" s="82">
        <v>30</v>
      </c>
      <c r="K19" s="83">
        <v>392.3</v>
      </c>
      <c r="L19" s="84">
        <v>7.75</v>
      </c>
      <c r="O19" s="30"/>
      <c r="P19" s="30"/>
      <c r="Q19" s="32"/>
      <c r="R19" s="5"/>
      <c r="S19" s="16">
        <v>1</v>
      </c>
      <c r="T19" s="7">
        <v>30</v>
      </c>
      <c r="U19" s="17">
        <v>4</v>
      </c>
      <c r="V19" s="8">
        <v>58.95</v>
      </c>
      <c r="W19" s="8">
        <f t="shared" si="0"/>
        <v>58.7</v>
      </c>
      <c r="X19" s="18">
        <f t="shared" si="1"/>
        <v>0.25</v>
      </c>
      <c r="Z19" s="26"/>
      <c r="AA19" s="16"/>
      <c r="AB19" s="27"/>
      <c r="AC19" s="28"/>
      <c r="AD19" s="8"/>
      <c r="AE19" s="18">
        <f t="shared" si="3"/>
        <v>0</v>
      </c>
      <c r="AF19" s="59"/>
      <c r="AG19" s="91"/>
      <c r="AH19" s="92"/>
      <c r="AI19" s="92"/>
      <c r="AJ19" s="34"/>
      <c r="AK19" s="34"/>
      <c r="AL19" s="34"/>
      <c r="AM19" s="85"/>
      <c r="AN19" s="97"/>
      <c r="AO19" s="93"/>
      <c r="AP19" s="85"/>
      <c r="AQ19" s="97"/>
      <c r="AR19" s="93"/>
      <c r="AS19" s="85"/>
      <c r="AT19" s="97"/>
      <c r="AU19" s="96"/>
      <c r="AV19" s="34"/>
    </row>
    <row r="20" spans="1:48" ht="21" customHeight="1" thickBot="1">
      <c r="A20" s="34"/>
      <c r="B20" s="98"/>
      <c r="C20" s="34"/>
      <c r="D20" s="62" t="s">
        <v>52</v>
      </c>
      <c r="E20" s="90">
        <v>12.45</v>
      </c>
      <c r="F20" s="80">
        <v>12.2</v>
      </c>
      <c r="G20" s="2">
        <v>0</v>
      </c>
      <c r="H20" s="90">
        <v>13.95</v>
      </c>
      <c r="I20" s="81">
        <v>13.7</v>
      </c>
      <c r="J20" s="82">
        <v>9</v>
      </c>
      <c r="K20" s="83">
        <v>123.3</v>
      </c>
      <c r="L20" s="84">
        <v>2.25</v>
      </c>
      <c r="O20" s="30"/>
      <c r="P20" s="30"/>
      <c r="Q20" s="32"/>
      <c r="R20" s="5"/>
      <c r="S20" s="16"/>
      <c r="T20" s="7"/>
      <c r="U20" s="17"/>
      <c r="V20" s="8"/>
      <c r="W20" s="8">
        <f>SUM(S20*V20)-(S20*0.25)</f>
        <v>0</v>
      </c>
      <c r="X20" s="18">
        <f>SUM(S20*0.25)</f>
        <v>0</v>
      </c>
      <c r="Z20" s="26"/>
      <c r="AA20" s="16"/>
      <c r="AB20" s="27"/>
      <c r="AC20" s="28"/>
      <c r="AD20" s="8">
        <f t="shared" si="2"/>
        <v>0</v>
      </c>
      <c r="AE20" s="18">
        <f t="shared" si="3"/>
        <v>0</v>
      </c>
      <c r="AF20" s="59"/>
      <c r="AG20" s="59"/>
      <c r="AH20" s="92"/>
      <c r="AI20" s="92"/>
      <c r="AJ20" s="34"/>
      <c r="AK20" s="34"/>
      <c r="AL20" s="34"/>
      <c r="AM20" s="85"/>
      <c r="AN20" s="97"/>
      <c r="AO20" s="93"/>
      <c r="AP20" s="85"/>
      <c r="AQ20" s="97"/>
      <c r="AR20" s="93"/>
      <c r="AS20" s="85"/>
      <c r="AT20" s="97"/>
      <c r="AU20" s="96"/>
      <c r="AV20" s="34"/>
    </row>
    <row r="21" spans="1:48" ht="21" customHeight="1" thickBot="1">
      <c r="A21" s="34"/>
      <c r="B21" s="98"/>
      <c r="C21" s="34"/>
      <c r="D21" s="62" t="s">
        <v>53</v>
      </c>
      <c r="E21" s="90">
        <v>13.25</v>
      </c>
      <c r="F21" s="80">
        <v>13</v>
      </c>
      <c r="G21" s="2">
        <v>0</v>
      </c>
      <c r="H21" s="90">
        <v>14.85</v>
      </c>
      <c r="I21" s="81">
        <v>14.6</v>
      </c>
      <c r="J21" s="82">
        <v>8</v>
      </c>
      <c r="K21" s="83">
        <v>116.8</v>
      </c>
      <c r="L21" s="84">
        <v>2</v>
      </c>
      <c r="O21" s="30"/>
      <c r="P21" s="30"/>
      <c r="Q21" s="32"/>
      <c r="R21" s="5"/>
      <c r="S21" s="16"/>
      <c r="T21" s="7"/>
      <c r="U21" s="17"/>
      <c r="V21" s="8"/>
      <c r="W21" s="8">
        <f>SUM(S21*V21)-(S21*0.25)</f>
        <v>0</v>
      </c>
      <c r="X21" s="18">
        <f>SUM(S21*0.25)</f>
        <v>0</v>
      </c>
      <c r="Z21" s="26"/>
      <c r="AA21" s="16"/>
      <c r="AB21" s="27"/>
      <c r="AC21" s="28"/>
      <c r="AD21" s="8">
        <f t="shared" si="2"/>
        <v>0</v>
      </c>
      <c r="AE21" s="18">
        <f t="shared" si="3"/>
        <v>0</v>
      </c>
      <c r="AF21" s="59"/>
      <c r="AG21" s="59"/>
      <c r="AH21" s="92"/>
      <c r="AI21" s="92"/>
      <c r="AJ21" s="34"/>
      <c r="AK21" s="34"/>
      <c r="AL21" s="34"/>
      <c r="AM21" s="85"/>
      <c r="AN21" s="97"/>
      <c r="AO21" s="93"/>
      <c r="AP21" s="85"/>
      <c r="AQ21" s="97"/>
      <c r="AR21" s="93"/>
      <c r="AS21" s="85"/>
      <c r="AT21" s="97"/>
      <c r="AU21" s="96"/>
      <c r="AV21" s="34"/>
    </row>
    <row r="22" spans="1:48" ht="21" customHeight="1" thickBot="1">
      <c r="A22" s="99"/>
      <c r="B22" s="100"/>
      <c r="C22" s="99"/>
      <c r="D22" s="62" t="s">
        <v>54</v>
      </c>
      <c r="E22" s="90">
        <v>13.8</v>
      </c>
      <c r="F22" s="80">
        <v>13.55</v>
      </c>
      <c r="G22" s="2">
        <v>0</v>
      </c>
      <c r="H22" s="90">
        <v>15.25</v>
      </c>
      <c r="I22" s="81">
        <v>15</v>
      </c>
      <c r="J22" s="82">
        <v>0</v>
      </c>
      <c r="K22" s="83">
        <v>0</v>
      </c>
      <c r="L22" s="84">
        <v>0</v>
      </c>
      <c r="O22" s="30"/>
      <c r="P22" s="30"/>
      <c r="Q22" s="32"/>
      <c r="R22" s="5"/>
      <c r="S22" s="16"/>
      <c r="T22" s="7"/>
      <c r="U22" s="17"/>
      <c r="V22" s="8"/>
      <c r="W22" s="8">
        <f t="shared" si="0"/>
        <v>0</v>
      </c>
      <c r="X22" s="18">
        <f t="shared" si="1"/>
        <v>0</v>
      </c>
      <c r="Z22" s="101"/>
      <c r="AA22" s="102"/>
      <c r="AB22" s="103"/>
      <c r="AC22" s="104"/>
      <c r="AD22" s="8">
        <f t="shared" si="2"/>
        <v>0</v>
      </c>
      <c r="AE22" s="18">
        <f t="shared" si="3"/>
        <v>0</v>
      </c>
      <c r="AF22" s="59"/>
      <c r="AG22" s="59"/>
      <c r="AH22" s="92"/>
      <c r="AI22" s="92"/>
      <c r="AJ22" s="34"/>
      <c r="AK22" s="34"/>
      <c r="AL22" s="34"/>
      <c r="AM22" s="85"/>
      <c r="AN22" s="97"/>
      <c r="AO22" s="93"/>
      <c r="AP22" s="85"/>
      <c r="AQ22" s="97"/>
      <c r="AR22" s="93"/>
      <c r="AS22" s="85"/>
      <c r="AT22" s="97"/>
      <c r="AU22" s="96"/>
      <c r="AV22" s="34"/>
    </row>
    <row r="23" spans="1:48" ht="21" customHeight="1" thickBot="1">
      <c r="A23" s="99"/>
      <c r="B23" s="99"/>
      <c r="C23" s="99"/>
      <c r="D23" s="62" t="s">
        <v>55</v>
      </c>
      <c r="E23" s="105">
        <v>14.4</v>
      </c>
      <c r="F23" s="80">
        <v>14.15</v>
      </c>
      <c r="G23" s="2">
        <v>0</v>
      </c>
      <c r="H23" s="90">
        <v>15.85</v>
      </c>
      <c r="I23" s="81">
        <v>15.6</v>
      </c>
      <c r="J23" s="82">
        <v>0</v>
      </c>
      <c r="K23" s="83">
        <v>0</v>
      </c>
      <c r="L23" s="84">
        <v>0</v>
      </c>
      <c r="O23" s="30"/>
      <c r="P23" s="30"/>
      <c r="Q23" s="32"/>
      <c r="R23" s="5"/>
      <c r="S23" s="16"/>
      <c r="T23" s="7"/>
      <c r="U23" s="17"/>
      <c r="V23" s="8"/>
      <c r="W23" s="8">
        <f t="shared" si="0"/>
        <v>0</v>
      </c>
      <c r="X23" s="18">
        <f t="shared" si="1"/>
        <v>0</v>
      </c>
      <c r="Z23" s="101"/>
      <c r="AA23" s="102"/>
      <c r="AB23" s="103"/>
      <c r="AC23" s="104"/>
      <c r="AD23" s="8">
        <f t="shared" si="2"/>
        <v>0</v>
      </c>
      <c r="AE23" s="18">
        <f t="shared" si="3"/>
        <v>0</v>
      </c>
      <c r="AF23" s="59"/>
      <c r="AG23" s="59"/>
      <c r="AH23" s="92"/>
      <c r="AI23" s="92"/>
      <c r="AJ23" s="34"/>
      <c r="AK23" s="34"/>
      <c r="AL23" s="34"/>
      <c r="AM23" s="85"/>
      <c r="AN23" s="97"/>
      <c r="AO23" s="93"/>
      <c r="AP23" s="85"/>
      <c r="AQ23" s="97"/>
      <c r="AR23" s="93"/>
      <c r="AS23" s="85"/>
      <c r="AT23" s="97"/>
      <c r="AU23" s="96"/>
      <c r="AV23" s="34"/>
    </row>
    <row r="24" spans="1:48" ht="21" customHeight="1" thickBot="1">
      <c r="A24" s="99"/>
      <c r="B24" s="99"/>
      <c r="C24" s="99"/>
      <c r="D24" s="62" t="s">
        <v>56</v>
      </c>
      <c r="E24" s="105">
        <v>15.05</v>
      </c>
      <c r="F24" s="80">
        <v>14.8</v>
      </c>
      <c r="G24" s="2">
        <v>0</v>
      </c>
      <c r="H24" s="90">
        <v>16.3</v>
      </c>
      <c r="I24" s="81">
        <v>16.05</v>
      </c>
      <c r="J24" s="82">
        <v>3</v>
      </c>
      <c r="K24" s="83">
        <v>48.150000000000006</v>
      </c>
      <c r="L24" s="84">
        <v>0.75</v>
      </c>
      <c r="O24" s="30"/>
      <c r="P24" s="30"/>
      <c r="Q24" s="32"/>
      <c r="R24" s="5"/>
      <c r="S24" s="16"/>
      <c r="T24" s="7"/>
      <c r="U24" s="17"/>
      <c r="V24" s="8"/>
      <c r="W24" s="8">
        <f t="shared" si="0"/>
        <v>0</v>
      </c>
      <c r="X24" s="18">
        <f t="shared" si="1"/>
        <v>0</v>
      </c>
      <c r="Z24" s="101"/>
      <c r="AA24" s="102"/>
      <c r="AB24" s="103"/>
      <c r="AC24" s="104"/>
      <c r="AD24" s="8">
        <f t="shared" si="2"/>
        <v>0</v>
      </c>
      <c r="AE24" s="18">
        <f t="shared" si="3"/>
        <v>0</v>
      </c>
      <c r="AF24" s="59"/>
      <c r="AG24" s="59"/>
      <c r="AH24" s="92"/>
      <c r="AI24" s="92"/>
      <c r="AJ24" s="34"/>
      <c r="AK24" s="34"/>
      <c r="AL24" s="34"/>
      <c r="AM24" s="85"/>
      <c r="AN24" s="97"/>
      <c r="AO24" s="93"/>
      <c r="AP24" s="85"/>
      <c r="AQ24" s="97"/>
      <c r="AR24" s="93"/>
      <c r="AS24" s="85"/>
      <c r="AT24" s="97"/>
      <c r="AU24" s="96"/>
      <c r="AV24" s="34"/>
    </row>
    <row r="25" spans="1:48" ht="21" customHeight="1" thickBot="1">
      <c r="A25" s="99"/>
      <c r="B25" s="99"/>
      <c r="C25" s="99"/>
      <c r="D25" s="62" t="s">
        <v>57</v>
      </c>
      <c r="E25" s="105">
        <v>15.6</v>
      </c>
      <c r="F25" s="80">
        <v>15.35</v>
      </c>
      <c r="G25" s="2">
        <v>0</v>
      </c>
      <c r="H25" s="90">
        <v>16.75</v>
      </c>
      <c r="I25" s="81">
        <v>16.5</v>
      </c>
      <c r="J25" s="82">
        <v>2</v>
      </c>
      <c r="K25" s="83">
        <v>33</v>
      </c>
      <c r="L25" s="84">
        <v>0.5</v>
      </c>
      <c r="O25" s="1">
        <v>0</v>
      </c>
      <c r="R25" s="106"/>
      <c r="S25" s="16"/>
      <c r="T25" s="7"/>
      <c r="U25" s="17"/>
      <c r="V25" s="8"/>
      <c r="W25" s="8">
        <f t="shared" si="0"/>
        <v>0</v>
      </c>
      <c r="X25" s="18">
        <f t="shared" si="1"/>
        <v>0</v>
      </c>
      <c r="Z25" s="101"/>
      <c r="AA25" s="102"/>
      <c r="AB25" s="103"/>
      <c r="AC25" s="104"/>
      <c r="AD25" s="8">
        <f t="shared" si="2"/>
        <v>0</v>
      </c>
      <c r="AE25" s="18">
        <f t="shared" si="3"/>
        <v>0</v>
      </c>
      <c r="AF25" s="59"/>
      <c r="AG25" s="59"/>
      <c r="AH25" s="92"/>
      <c r="AI25" s="92"/>
      <c r="AJ25" s="34"/>
      <c r="AK25" s="34"/>
      <c r="AL25" s="34"/>
      <c r="AM25" s="85"/>
      <c r="AN25" s="97"/>
      <c r="AO25" s="93"/>
      <c r="AP25" s="85"/>
      <c r="AQ25" s="97"/>
      <c r="AR25" s="93"/>
      <c r="AS25" s="85"/>
      <c r="AT25" s="97"/>
      <c r="AU25" s="96"/>
      <c r="AV25" s="34"/>
    </row>
    <row r="26" spans="1:48" ht="21" customHeight="1" thickBot="1">
      <c r="A26" s="99"/>
      <c r="B26" s="99"/>
      <c r="C26" s="99"/>
      <c r="D26" s="62" t="s">
        <v>58</v>
      </c>
      <c r="E26" s="107">
        <v>16.5</v>
      </c>
      <c r="F26" s="80">
        <v>16.25</v>
      </c>
      <c r="G26" s="2">
        <v>0</v>
      </c>
      <c r="H26" s="108">
        <v>17.8</v>
      </c>
      <c r="I26" s="81">
        <v>17.55</v>
      </c>
      <c r="J26" s="82">
        <v>1</v>
      </c>
      <c r="K26" s="83">
        <v>17.55</v>
      </c>
      <c r="L26" s="84">
        <v>0.25</v>
      </c>
      <c r="O26" s="40" t="s">
        <v>59</v>
      </c>
      <c r="P26" s="109" t="s">
        <v>60</v>
      </c>
      <c r="Q26" s="109" t="s">
        <v>61</v>
      </c>
      <c r="R26" s="109" t="s">
        <v>62</v>
      </c>
      <c r="S26" s="16"/>
      <c r="T26" s="7"/>
      <c r="U26" s="17"/>
      <c r="V26" s="8"/>
      <c r="W26" s="8">
        <f t="shared" si="0"/>
        <v>0</v>
      </c>
      <c r="X26" s="18">
        <f t="shared" si="1"/>
        <v>0</v>
      </c>
      <c r="Z26" s="101"/>
      <c r="AA26" s="102"/>
      <c r="AB26" s="103"/>
      <c r="AC26" s="104"/>
      <c r="AD26" s="8">
        <f t="shared" si="2"/>
        <v>0</v>
      </c>
      <c r="AE26" s="18">
        <f t="shared" si="3"/>
        <v>0</v>
      </c>
      <c r="AF26" s="59"/>
      <c r="AG26" s="59"/>
      <c r="AH26" s="92"/>
      <c r="AI26" s="92"/>
      <c r="AJ26" s="34"/>
      <c r="AK26" s="34"/>
      <c r="AL26" s="34"/>
      <c r="AM26" s="85"/>
      <c r="AN26" s="97"/>
      <c r="AO26" s="93"/>
      <c r="AP26" s="85"/>
      <c r="AQ26" s="97"/>
      <c r="AR26" s="93"/>
      <c r="AS26" s="85"/>
      <c r="AT26" s="97"/>
      <c r="AU26" s="96"/>
      <c r="AV26" s="34"/>
    </row>
    <row r="27" spans="1:48" ht="21" customHeight="1" thickBot="1">
      <c r="A27" s="99"/>
      <c r="B27" s="99"/>
      <c r="C27" s="99"/>
      <c r="D27" s="2"/>
      <c r="E27" s="110" t="s">
        <v>37</v>
      </c>
      <c r="F27" s="111"/>
      <c r="G27" s="2"/>
      <c r="H27" s="71" t="s">
        <v>37</v>
      </c>
      <c r="I27" s="65" t="s">
        <v>39</v>
      </c>
      <c r="J27" s="82"/>
      <c r="K27" s="112"/>
      <c r="L27" s="112"/>
      <c r="O27" s="113">
        <v>2150</v>
      </c>
      <c r="P27" s="114">
        <v>1</v>
      </c>
      <c r="Q27" s="115">
        <v>10.15</v>
      </c>
      <c r="R27" s="116">
        <v>0.25</v>
      </c>
      <c r="S27" s="16"/>
      <c r="T27" s="7"/>
      <c r="U27" s="17"/>
      <c r="V27" s="8"/>
      <c r="W27" s="8">
        <f t="shared" si="0"/>
        <v>0</v>
      </c>
      <c r="X27" s="18">
        <f t="shared" si="1"/>
        <v>0</v>
      </c>
      <c r="Z27" s="101"/>
      <c r="AA27" s="102"/>
      <c r="AB27" s="103"/>
      <c r="AC27" s="104"/>
      <c r="AD27" s="8">
        <f t="shared" si="2"/>
        <v>0</v>
      </c>
      <c r="AE27" s="18">
        <f t="shared" si="3"/>
        <v>0</v>
      </c>
      <c r="AF27" s="59"/>
      <c r="AG27" s="59"/>
      <c r="AH27" s="92"/>
      <c r="AI27" s="92"/>
      <c r="AJ27" s="34"/>
      <c r="AK27" s="34"/>
      <c r="AL27" s="34"/>
      <c r="AM27" s="85"/>
      <c r="AN27" s="97"/>
      <c r="AO27" s="93"/>
      <c r="AP27" s="85"/>
      <c r="AQ27" s="97"/>
      <c r="AR27" s="93"/>
      <c r="AS27" s="85"/>
      <c r="AT27" s="97"/>
      <c r="AU27" s="96"/>
      <c r="AV27" s="34"/>
    </row>
    <row r="28" spans="1:48" ht="21" customHeight="1" thickBot="1">
      <c r="A28" s="99"/>
      <c r="B28" s="99"/>
      <c r="C28" s="99"/>
      <c r="D28" s="2"/>
      <c r="E28" s="110" t="s">
        <v>63</v>
      </c>
      <c r="F28" s="69" t="s">
        <v>63</v>
      </c>
      <c r="G28" s="2"/>
      <c r="H28" s="68" t="s">
        <v>64</v>
      </c>
      <c r="I28" s="69" t="s">
        <v>64</v>
      </c>
      <c r="J28" s="82"/>
      <c r="K28" s="112"/>
      <c r="L28" s="112"/>
      <c r="O28" s="117">
        <v>2240</v>
      </c>
      <c r="P28" s="114">
        <v>0</v>
      </c>
      <c r="Q28" s="115">
        <v>0</v>
      </c>
      <c r="R28" s="116">
        <v>0</v>
      </c>
      <c r="S28" s="16"/>
      <c r="T28" s="7"/>
      <c r="U28" s="17"/>
      <c r="V28" s="8"/>
      <c r="W28" s="8">
        <f t="shared" si="0"/>
        <v>0</v>
      </c>
      <c r="X28" s="18">
        <f t="shared" si="1"/>
        <v>0</v>
      </c>
      <c r="Z28" s="101"/>
      <c r="AA28" s="102"/>
      <c r="AB28" s="103"/>
      <c r="AC28" s="104"/>
      <c r="AD28" s="8">
        <f t="shared" si="2"/>
        <v>0</v>
      </c>
      <c r="AE28" s="18">
        <f t="shared" si="3"/>
        <v>0</v>
      </c>
      <c r="AF28" s="59"/>
      <c r="AG28" s="59"/>
      <c r="AH28" s="59"/>
      <c r="AI28" s="118"/>
      <c r="AJ28" s="34"/>
      <c r="AK28" s="34"/>
      <c r="AL28" s="34"/>
      <c r="AM28" s="85"/>
      <c r="AN28" s="97"/>
      <c r="AO28" s="93"/>
      <c r="AP28" s="85"/>
      <c r="AQ28" s="97"/>
      <c r="AR28" s="93"/>
      <c r="AS28" s="85"/>
      <c r="AT28" s="97"/>
      <c r="AU28" s="96"/>
      <c r="AV28" s="34"/>
    </row>
    <row r="29" spans="1:48" ht="21" customHeight="1" thickBot="1">
      <c r="A29" s="99"/>
      <c r="B29" s="34"/>
      <c r="C29" s="34"/>
      <c r="D29" s="119" t="s">
        <v>45</v>
      </c>
      <c r="E29" s="79">
        <v>10.65</v>
      </c>
      <c r="F29" s="80">
        <v>10.4</v>
      </c>
      <c r="G29" s="2">
        <v>0</v>
      </c>
      <c r="H29" s="79">
        <v>11</v>
      </c>
      <c r="I29" s="80">
        <v>10.75</v>
      </c>
      <c r="J29" s="82">
        <v>0</v>
      </c>
      <c r="K29" s="83">
        <v>0</v>
      </c>
      <c r="L29" s="84">
        <v>0</v>
      </c>
      <c r="O29" s="117">
        <v>2260</v>
      </c>
      <c r="P29" s="114">
        <v>0</v>
      </c>
      <c r="Q29" s="115">
        <v>0</v>
      </c>
      <c r="R29" s="116">
        <v>0</v>
      </c>
      <c r="S29" s="16"/>
      <c r="T29" s="7"/>
      <c r="U29" s="17"/>
      <c r="V29" s="8"/>
      <c r="W29" s="8">
        <f>SUM(S29*V29)-(S29*0.25)</f>
        <v>0</v>
      </c>
      <c r="X29" s="18">
        <f t="shared" si="1"/>
        <v>0</v>
      </c>
      <c r="Z29" s="101"/>
      <c r="AA29" s="102"/>
      <c r="AB29" s="103"/>
      <c r="AC29" s="104"/>
      <c r="AD29" s="8">
        <f t="shared" si="2"/>
        <v>0</v>
      </c>
      <c r="AE29" s="18">
        <f t="shared" si="3"/>
        <v>0</v>
      </c>
      <c r="AF29" s="59"/>
      <c r="AG29" s="59"/>
      <c r="AH29" s="59"/>
      <c r="AI29" s="59"/>
      <c r="AJ29" s="34"/>
      <c r="AK29" s="34"/>
      <c r="AL29" s="34"/>
      <c r="AM29" s="85"/>
      <c r="AN29" s="86"/>
      <c r="AO29" s="85"/>
      <c r="AP29" s="85"/>
      <c r="AQ29" s="86"/>
      <c r="AR29" s="85"/>
      <c r="AS29" s="85"/>
      <c r="AT29" s="97"/>
      <c r="AU29" s="96"/>
      <c r="AV29" s="34"/>
    </row>
    <row r="30" spans="1:48" ht="21" customHeight="1" thickBot="1">
      <c r="A30" s="120"/>
      <c r="B30" s="50"/>
      <c r="C30" s="50"/>
      <c r="D30" s="119" t="s">
        <v>48</v>
      </c>
      <c r="E30" s="90">
        <v>11.7</v>
      </c>
      <c r="F30" s="80">
        <v>11.45</v>
      </c>
      <c r="G30" s="2">
        <v>52</v>
      </c>
      <c r="H30" s="90">
        <v>13.3</v>
      </c>
      <c r="I30" s="80">
        <v>13.05</v>
      </c>
      <c r="J30" s="82">
        <v>26</v>
      </c>
      <c r="K30" s="83">
        <v>934.7</v>
      </c>
      <c r="L30" s="84">
        <v>19.5</v>
      </c>
      <c r="O30" s="117">
        <v>2280</v>
      </c>
      <c r="P30" s="114">
        <v>12</v>
      </c>
      <c r="Q30" s="115">
        <v>131</v>
      </c>
      <c r="R30" s="116">
        <v>3</v>
      </c>
      <c r="S30" s="121">
        <f>SUM(S3:S29)</f>
        <v>18</v>
      </c>
      <c r="T30" s="122"/>
      <c r="U30" s="122"/>
      <c r="V30" s="123"/>
      <c r="W30" s="124">
        <f>SUM(W3:W29)</f>
        <v>608.55000000000007</v>
      </c>
      <c r="X30" s="124">
        <f>SUM(X3:X29)</f>
        <v>4.5</v>
      </c>
      <c r="Z30" s="101"/>
      <c r="AA30" s="102"/>
      <c r="AB30" s="103"/>
      <c r="AC30" s="104"/>
      <c r="AD30" s="8">
        <f t="shared" si="2"/>
        <v>0</v>
      </c>
      <c r="AE30" s="18">
        <f t="shared" si="3"/>
        <v>0</v>
      </c>
      <c r="AF30" s="59"/>
      <c r="AG30" s="59"/>
      <c r="AH30" s="59"/>
      <c r="AI30" s="59"/>
      <c r="AJ30" s="34"/>
      <c r="AK30" s="34"/>
      <c r="AL30" s="34"/>
      <c r="AM30" s="85"/>
      <c r="AN30" s="86"/>
      <c r="AO30" s="93"/>
      <c r="AP30" s="85"/>
      <c r="AQ30" s="86"/>
      <c r="AR30" s="93"/>
      <c r="AS30" s="85"/>
      <c r="AT30" s="97"/>
      <c r="AU30" s="96"/>
      <c r="AV30" s="34"/>
    </row>
    <row r="31" spans="1:48" ht="21" customHeight="1" thickBot="1">
      <c r="A31" s="59"/>
      <c r="B31" s="92"/>
      <c r="C31" s="92"/>
      <c r="D31" s="119" t="s">
        <v>51</v>
      </c>
      <c r="E31" s="90">
        <v>12.3</v>
      </c>
      <c r="F31" s="80">
        <v>12.05</v>
      </c>
      <c r="G31" s="2">
        <v>19</v>
      </c>
      <c r="H31" s="90">
        <v>14.05</v>
      </c>
      <c r="I31" s="80">
        <v>13.8</v>
      </c>
      <c r="J31" s="82">
        <v>5</v>
      </c>
      <c r="K31" s="83">
        <v>297.95000000000005</v>
      </c>
      <c r="L31" s="84">
        <v>6</v>
      </c>
      <c r="O31" s="117">
        <v>2370</v>
      </c>
      <c r="P31" s="114">
        <v>0</v>
      </c>
      <c r="Q31" s="115">
        <v>0</v>
      </c>
      <c r="R31" s="116">
        <v>0</v>
      </c>
      <c r="U31" s="34"/>
      <c r="V31" s="59"/>
      <c r="W31" s="92"/>
      <c r="X31" s="59"/>
      <c r="Y31" s="92"/>
      <c r="Z31" s="125"/>
      <c r="AA31" s="126"/>
      <c r="AB31" s="127"/>
      <c r="AC31" s="128"/>
      <c r="AD31" s="8">
        <f t="shared" si="2"/>
        <v>0</v>
      </c>
      <c r="AE31" s="18">
        <f t="shared" si="3"/>
        <v>0</v>
      </c>
      <c r="AF31" s="59"/>
      <c r="AG31" s="59"/>
      <c r="AH31" s="59"/>
      <c r="AI31" s="59"/>
      <c r="AJ31" s="34"/>
      <c r="AK31" s="34"/>
      <c r="AL31" s="34"/>
      <c r="AM31" s="85"/>
      <c r="AN31" s="97"/>
      <c r="AO31" s="93"/>
      <c r="AP31" s="85"/>
      <c r="AQ31" s="97"/>
      <c r="AR31" s="93"/>
      <c r="AS31" s="85"/>
      <c r="AT31" s="97"/>
      <c r="AU31" s="96"/>
      <c r="AV31" s="34"/>
    </row>
    <row r="32" spans="1:48" ht="21" customHeight="1" thickBot="1">
      <c r="A32" s="59"/>
      <c r="B32" s="59"/>
      <c r="C32" s="92"/>
      <c r="D32" s="119" t="s">
        <v>52</v>
      </c>
      <c r="E32" s="90">
        <v>13</v>
      </c>
      <c r="F32" s="80">
        <v>12.75</v>
      </c>
      <c r="G32" s="2">
        <v>11</v>
      </c>
      <c r="H32" s="90">
        <v>15.15</v>
      </c>
      <c r="I32" s="80">
        <v>14.9</v>
      </c>
      <c r="J32" s="82">
        <v>2</v>
      </c>
      <c r="K32" s="83">
        <v>170.05</v>
      </c>
      <c r="L32" s="84">
        <v>3.25</v>
      </c>
      <c r="O32" s="117">
        <v>2380</v>
      </c>
      <c r="P32" s="114">
        <v>0</v>
      </c>
      <c r="Q32" s="115">
        <v>0</v>
      </c>
      <c r="R32" s="116">
        <v>0</v>
      </c>
      <c r="U32" s="34"/>
      <c r="V32" s="59"/>
      <c r="W32" s="92"/>
      <c r="X32" s="59"/>
      <c r="Y32" s="92"/>
      <c r="Z32" s="125"/>
      <c r="AA32" s="126"/>
      <c r="AB32" s="127"/>
      <c r="AC32" s="128"/>
      <c r="AD32" s="8">
        <f t="shared" si="2"/>
        <v>0</v>
      </c>
      <c r="AE32" s="18">
        <f t="shared" si="3"/>
        <v>0</v>
      </c>
      <c r="AF32" s="59"/>
      <c r="AG32" s="59"/>
      <c r="AH32" s="59"/>
      <c r="AI32" s="59"/>
      <c r="AJ32" s="34"/>
      <c r="AK32" s="34"/>
      <c r="AL32" s="34"/>
      <c r="AM32" s="85"/>
      <c r="AN32" s="97"/>
      <c r="AO32" s="93"/>
      <c r="AP32" s="85"/>
      <c r="AQ32" s="97"/>
      <c r="AR32" s="93"/>
      <c r="AS32" s="85"/>
      <c r="AT32" s="97"/>
      <c r="AU32" s="96"/>
      <c r="AV32" s="34"/>
    </row>
    <row r="33" spans="1:48" ht="21" customHeight="1" thickBot="1">
      <c r="A33" s="59"/>
      <c r="B33" s="59"/>
      <c r="C33" s="129"/>
      <c r="D33" s="119" t="s">
        <v>53</v>
      </c>
      <c r="E33" s="90">
        <v>13.85</v>
      </c>
      <c r="F33" s="80">
        <v>13.6</v>
      </c>
      <c r="G33" s="2">
        <v>5</v>
      </c>
      <c r="H33" s="90">
        <v>16.2</v>
      </c>
      <c r="I33" s="80">
        <v>15.95</v>
      </c>
      <c r="J33" s="82">
        <v>2</v>
      </c>
      <c r="K33" s="83">
        <v>99.9</v>
      </c>
      <c r="L33" s="84">
        <v>1.75</v>
      </c>
      <c r="O33" s="117">
        <v>2410</v>
      </c>
      <c r="P33" s="114">
        <v>0</v>
      </c>
      <c r="Q33" s="115">
        <v>0</v>
      </c>
      <c r="R33" s="116">
        <v>0</v>
      </c>
      <c r="S33" s="45"/>
      <c r="T33" s="39" t="s">
        <v>59</v>
      </c>
      <c r="U33" s="109" t="s">
        <v>60</v>
      </c>
      <c r="V33" s="109" t="s">
        <v>61</v>
      </c>
      <c r="W33" s="130" t="s">
        <v>62</v>
      </c>
      <c r="X33" s="59"/>
      <c r="Y33" s="92"/>
      <c r="Z33" s="125"/>
      <c r="AA33" s="126"/>
      <c r="AB33" s="127"/>
      <c r="AC33" s="128"/>
      <c r="AD33" s="8">
        <f>SUM(Z33*AC33)-(Z33*0.25)</f>
        <v>0</v>
      </c>
      <c r="AE33" s="18">
        <f t="shared" si="3"/>
        <v>0</v>
      </c>
      <c r="AF33" s="59"/>
      <c r="AG33" s="59"/>
      <c r="AH33" s="59"/>
      <c r="AI33" s="59"/>
      <c r="AJ33" s="34"/>
      <c r="AK33" s="34"/>
      <c r="AL33" s="34"/>
      <c r="AM33" s="85"/>
      <c r="AN33" s="97"/>
      <c r="AO33" s="93"/>
      <c r="AP33" s="85"/>
      <c r="AQ33" s="97"/>
      <c r="AR33" s="93"/>
      <c r="AS33" s="85"/>
      <c r="AT33" s="97"/>
      <c r="AU33" s="96"/>
      <c r="AV33" s="34"/>
    </row>
    <row r="34" spans="1:48" ht="21" customHeight="1" thickBot="1">
      <c r="A34" s="59"/>
      <c r="B34" s="59"/>
      <c r="C34" s="129"/>
      <c r="D34" s="119" t="s">
        <v>54</v>
      </c>
      <c r="E34" s="90">
        <v>14.2</v>
      </c>
      <c r="F34" s="80">
        <v>13.95</v>
      </c>
      <c r="G34" s="2">
        <v>1</v>
      </c>
      <c r="H34" s="90">
        <v>16.850000000000001</v>
      </c>
      <c r="I34" s="80">
        <v>16.600000000000001</v>
      </c>
      <c r="J34" s="82">
        <v>2</v>
      </c>
      <c r="K34" s="83">
        <v>47.150000000000006</v>
      </c>
      <c r="L34" s="84">
        <v>0.75</v>
      </c>
      <c r="O34" s="117">
        <v>2420</v>
      </c>
      <c r="P34" s="114">
        <v>0</v>
      </c>
      <c r="Q34" s="115">
        <v>0</v>
      </c>
      <c r="R34" s="116">
        <v>0</v>
      </c>
      <c r="T34" s="131">
        <v>2420</v>
      </c>
      <c r="U34" s="131"/>
      <c r="V34" s="132"/>
      <c r="W34" s="132"/>
      <c r="X34" s="59"/>
      <c r="Y34" s="92"/>
      <c r="Z34" s="125"/>
      <c r="AA34" s="126"/>
      <c r="AB34" s="127"/>
      <c r="AC34" s="128"/>
      <c r="AD34" s="8">
        <f>SUM(Z34*AC34)-(Z34*0.25)</f>
        <v>0</v>
      </c>
      <c r="AE34" s="18">
        <f t="shared" si="3"/>
        <v>0</v>
      </c>
      <c r="AF34" s="59"/>
      <c r="AG34" s="59"/>
      <c r="AH34" s="59"/>
      <c r="AI34" s="59"/>
      <c r="AJ34" s="34"/>
      <c r="AK34" s="34"/>
      <c r="AL34" s="34"/>
      <c r="AM34" s="85"/>
      <c r="AN34" s="97"/>
      <c r="AO34" s="93"/>
      <c r="AP34" s="85"/>
      <c r="AQ34" s="97"/>
      <c r="AR34" s="93"/>
      <c r="AS34" s="85"/>
      <c r="AT34" s="97"/>
      <c r="AU34" s="96"/>
      <c r="AV34" s="34"/>
    </row>
    <row r="35" spans="1:48" ht="21" customHeight="1" thickBot="1">
      <c r="A35" s="50"/>
      <c r="B35" s="92"/>
      <c r="C35" s="92"/>
      <c r="D35" s="119" t="s">
        <v>55</v>
      </c>
      <c r="E35" s="90">
        <v>14.85</v>
      </c>
      <c r="F35" s="80">
        <v>14.6</v>
      </c>
      <c r="G35" s="2">
        <v>0</v>
      </c>
      <c r="H35" s="90">
        <v>17.654</v>
      </c>
      <c r="I35" s="80">
        <v>17.404</v>
      </c>
      <c r="J35" s="82">
        <v>0</v>
      </c>
      <c r="K35" s="83">
        <v>0</v>
      </c>
      <c r="L35" s="84">
        <v>0</v>
      </c>
      <c r="O35" s="117">
        <v>2480</v>
      </c>
      <c r="P35" s="114">
        <v>0</v>
      </c>
      <c r="Q35" s="115">
        <v>0</v>
      </c>
      <c r="R35" s="116">
        <v>0</v>
      </c>
      <c r="T35" s="133">
        <v>2510</v>
      </c>
      <c r="U35" s="134"/>
      <c r="V35" s="135"/>
      <c r="W35" s="132"/>
      <c r="X35" s="59"/>
      <c r="Y35" s="92"/>
      <c r="Z35" s="125"/>
      <c r="AA35" s="126"/>
      <c r="AB35" s="127"/>
      <c r="AC35" s="128"/>
      <c r="AD35" s="8">
        <f>SUM(Z35*AC35)-(Z35*0.25)</f>
        <v>0</v>
      </c>
      <c r="AE35" s="18">
        <f t="shared" si="3"/>
        <v>0</v>
      </c>
      <c r="AF35" s="59"/>
      <c r="AG35" s="59"/>
      <c r="AH35" s="59"/>
      <c r="AI35" s="59"/>
      <c r="AJ35" s="34"/>
      <c r="AK35" s="34"/>
      <c r="AL35" s="34"/>
      <c r="AM35" s="85"/>
      <c r="AN35" s="97"/>
      <c r="AO35" s="93"/>
      <c r="AP35" s="85"/>
      <c r="AQ35" s="97"/>
      <c r="AR35" s="93"/>
      <c r="AS35" s="85"/>
      <c r="AT35" s="97"/>
      <c r="AU35" s="96"/>
      <c r="AV35" s="34"/>
    </row>
    <row r="36" spans="1:48" ht="21" customHeight="1" thickBot="1">
      <c r="A36" s="50"/>
      <c r="B36" s="92"/>
      <c r="C36" s="92"/>
      <c r="D36" s="119" t="s">
        <v>56</v>
      </c>
      <c r="E36" s="105">
        <v>15.3</v>
      </c>
      <c r="F36" s="80">
        <v>15.05</v>
      </c>
      <c r="G36" s="2">
        <v>3</v>
      </c>
      <c r="H36" s="105">
        <v>18.25</v>
      </c>
      <c r="I36" s="80">
        <v>18</v>
      </c>
      <c r="J36" s="82">
        <v>2</v>
      </c>
      <c r="K36" s="83">
        <v>81.150000000000006</v>
      </c>
      <c r="L36" s="84">
        <v>1.25</v>
      </c>
      <c r="O36" s="117">
        <v>2470</v>
      </c>
      <c r="P36" s="114">
        <v>0</v>
      </c>
      <c r="Q36" s="115">
        <v>0</v>
      </c>
      <c r="R36" s="116">
        <v>0</v>
      </c>
      <c r="T36" s="133">
        <v>2260</v>
      </c>
      <c r="U36" s="133"/>
      <c r="V36" s="136"/>
      <c r="W36" s="132"/>
      <c r="X36" s="59"/>
      <c r="Y36" s="92"/>
      <c r="Z36" s="125"/>
      <c r="AA36" s="126"/>
      <c r="AB36" s="127"/>
      <c r="AC36" s="128"/>
      <c r="AD36" s="8">
        <f>SUM(Z36*AC36)-(Z36*0.25)</f>
        <v>0</v>
      </c>
      <c r="AE36" s="18">
        <f t="shared" si="3"/>
        <v>0</v>
      </c>
      <c r="AF36" s="59"/>
      <c r="AG36" s="59"/>
      <c r="AH36" s="59"/>
      <c r="AI36" s="59"/>
      <c r="AJ36" s="34"/>
      <c r="AK36" s="34"/>
      <c r="AL36" s="34"/>
      <c r="AM36" s="85"/>
      <c r="AN36" s="97"/>
      <c r="AO36" s="93"/>
      <c r="AP36" s="85"/>
      <c r="AQ36" s="97"/>
      <c r="AR36" s="93"/>
      <c r="AS36" s="85"/>
      <c r="AT36" s="97"/>
      <c r="AU36" s="96"/>
      <c r="AV36" s="34"/>
    </row>
    <row r="37" spans="1:48" ht="21" customHeight="1" thickBot="1">
      <c r="A37" s="50"/>
      <c r="B37" s="92"/>
      <c r="C37" s="92"/>
      <c r="D37" s="119" t="s">
        <v>57</v>
      </c>
      <c r="E37" s="105">
        <v>15.9</v>
      </c>
      <c r="F37" s="80">
        <v>15.65</v>
      </c>
      <c r="G37" s="2">
        <v>0</v>
      </c>
      <c r="H37" s="105">
        <v>19.3</v>
      </c>
      <c r="I37" s="80">
        <v>19.05</v>
      </c>
      <c r="J37" s="82">
        <v>1</v>
      </c>
      <c r="K37" s="83">
        <v>19.05</v>
      </c>
      <c r="L37" s="84">
        <v>0.25</v>
      </c>
      <c r="O37" s="117">
        <v>2560</v>
      </c>
      <c r="P37" s="114">
        <v>3</v>
      </c>
      <c r="Q37" s="115">
        <v>30.45</v>
      </c>
      <c r="R37" s="116">
        <v>0.75</v>
      </c>
      <c r="T37" s="133">
        <v>2340</v>
      </c>
      <c r="U37" s="134"/>
      <c r="V37" s="135"/>
      <c r="W37" s="132"/>
      <c r="X37" s="59"/>
      <c r="Y37" s="92"/>
      <c r="Z37" s="125"/>
      <c r="AA37" s="126"/>
      <c r="AB37" s="127"/>
      <c r="AC37" s="128"/>
      <c r="AD37" s="8">
        <f>SUM(Z37*AC37)-(Z37*0.25)</f>
        <v>0</v>
      </c>
      <c r="AE37" s="18">
        <f t="shared" si="3"/>
        <v>0</v>
      </c>
      <c r="AF37" s="59"/>
      <c r="AG37" s="59"/>
      <c r="AH37" s="59"/>
      <c r="AI37" s="59"/>
      <c r="AJ37" s="34"/>
      <c r="AK37" s="34"/>
      <c r="AL37" s="34"/>
      <c r="AM37" s="85"/>
      <c r="AN37" s="97"/>
      <c r="AO37" s="93"/>
      <c r="AP37" s="85"/>
      <c r="AQ37" s="97"/>
      <c r="AR37" s="93"/>
      <c r="AS37" s="85"/>
      <c r="AT37" s="97"/>
      <c r="AU37" s="96"/>
      <c r="AV37" s="34"/>
    </row>
    <row r="38" spans="1:48" ht="21" customHeight="1" thickBot="1">
      <c r="A38" s="50"/>
      <c r="B38" s="92"/>
      <c r="C38" s="92"/>
      <c r="D38" s="119" t="s">
        <v>58</v>
      </c>
      <c r="E38" s="107">
        <v>16.899999999999999</v>
      </c>
      <c r="F38" s="80">
        <v>16.649999999999999</v>
      </c>
      <c r="G38" s="2">
        <v>1</v>
      </c>
      <c r="H38" s="107">
        <v>20.149999999999999</v>
      </c>
      <c r="I38" s="80">
        <v>19.899999999999999</v>
      </c>
      <c r="J38" s="82">
        <v>0</v>
      </c>
      <c r="K38" s="83">
        <v>16.649999999999999</v>
      </c>
      <c r="L38" s="84">
        <v>0.25</v>
      </c>
      <c r="O38" s="117" t="s">
        <v>65</v>
      </c>
      <c r="P38" s="114">
        <v>398</v>
      </c>
      <c r="Q38" s="115">
        <v>5039.6000000000004</v>
      </c>
      <c r="R38" s="116">
        <v>99.5</v>
      </c>
      <c r="T38" s="133">
        <v>2370</v>
      </c>
      <c r="U38" s="133"/>
      <c r="V38" s="136"/>
      <c r="W38" s="132"/>
      <c r="X38" s="59"/>
      <c r="Y38" s="92"/>
      <c r="Z38" s="137">
        <f>SUM(Z7:Z37)</f>
        <v>0</v>
      </c>
      <c r="AA38" s="138"/>
      <c r="AB38" s="138"/>
      <c r="AC38" s="122"/>
      <c r="AD38" s="139">
        <f>SUM(AD7:AD37)</f>
        <v>0</v>
      </c>
      <c r="AE38" s="140">
        <f>SUM(AE7:AE37)</f>
        <v>0</v>
      </c>
      <c r="AF38" s="59"/>
      <c r="AG38" s="59"/>
      <c r="AH38" s="59"/>
      <c r="AI38" s="59"/>
      <c r="AJ38" s="34"/>
      <c r="AK38" s="34"/>
      <c r="AL38" s="34"/>
      <c r="AM38" s="85"/>
      <c r="AN38" s="97"/>
      <c r="AO38" s="93"/>
      <c r="AP38" s="85"/>
      <c r="AQ38" s="97"/>
      <c r="AR38" s="93"/>
      <c r="AS38" s="85"/>
      <c r="AT38" s="97"/>
      <c r="AU38" s="96"/>
      <c r="AV38" s="34"/>
    </row>
    <row r="39" spans="1:48" ht="21" customHeight="1" thickBot="1">
      <c r="A39" s="34"/>
      <c r="B39" s="34"/>
      <c r="C39" s="34"/>
      <c r="D39" s="2"/>
      <c r="E39" s="110" t="s">
        <v>37</v>
      </c>
      <c r="F39" s="111" t="s">
        <v>39</v>
      </c>
      <c r="G39" s="2"/>
      <c r="H39" s="63" t="s">
        <v>37</v>
      </c>
      <c r="I39" s="65" t="s">
        <v>39</v>
      </c>
      <c r="J39" s="82"/>
      <c r="K39" s="112"/>
      <c r="L39" s="112"/>
      <c r="O39" s="117" t="s">
        <v>66</v>
      </c>
      <c r="P39" s="114">
        <v>0</v>
      </c>
      <c r="Q39" s="115">
        <v>0</v>
      </c>
      <c r="R39" s="116">
        <v>0</v>
      </c>
      <c r="T39" s="133">
        <v>2600</v>
      </c>
      <c r="U39" s="134"/>
      <c r="V39" s="135"/>
      <c r="W39" s="132"/>
      <c r="X39" s="59"/>
      <c r="Y39" s="59"/>
      <c r="Z39" s="59"/>
      <c r="AA39" s="59"/>
      <c r="AB39" s="92"/>
      <c r="AC39" s="141"/>
      <c r="AD39" s="59"/>
      <c r="AE39" s="59"/>
      <c r="AF39" s="59"/>
      <c r="AG39" s="59"/>
      <c r="AH39" s="59"/>
      <c r="AI39" s="59"/>
      <c r="AJ39" s="34"/>
      <c r="AK39" s="34"/>
      <c r="AL39" s="34"/>
      <c r="AM39" s="85"/>
      <c r="AN39" s="97"/>
      <c r="AO39" s="93"/>
      <c r="AP39" s="85"/>
      <c r="AQ39" s="97"/>
      <c r="AR39" s="93"/>
      <c r="AS39" s="85"/>
      <c r="AT39" s="97"/>
      <c r="AU39" s="96"/>
      <c r="AV39" s="34"/>
    </row>
    <row r="40" spans="1:48" ht="21" customHeight="1" thickBot="1">
      <c r="A40" s="34"/>
      <c r="B40" s="34"/>
      <c r="C40" s="34"/>
      <c r="D40" s="2"/>
      <c r="E40" s="110" t="s">
        <v>67</v>
      </c>
      <c r="F40" s="69" t="s">
        <v>67</v>
      </c>
      <c r="G40" s="2"/>
      <c r="H40" s="68" t="s">
        <v>68</v>
      </c>
      <c r="I40" s="69" t="s">
        <v>68</v>
      </c>
      <c r="J40" s="82"/>
      <c r="K40" s="112"/>
      <c r="L40" s="112"/>
      <c r="O40" s="117" t="s">
        <v>69</v>
      </c>
      <c r="P40" s="114">
        <v>0</v>
      </c>
      <c r="Q40" s="115">
        <v>0</v>
      </c>
      <c r="R40" s="116">
        <v>0</v>
      </c>
      <c r="T40" s="133">
        <v>2610</v>
      </c>
      <c r="U40" s="133"/>
      <c r="V40" s="136"/>
      <c r="W40" s="132"/>
      <c r="X40" s="59"/>
      <c r="Y40" s="59"/>
      <c r="Z40" s="59"/>
      <c r="AA40" s="59"/>
      <c r="AB40" s="92"/>
      <c r="AC40" s="92"/>
      <c r="AD40" s="59"/>
      <c r="AE40" s="59"/>
      <c r="AF40" s="59"/>
      <c r="AG40" s="59"/>
      <c r="AH40" s="59"/>
      <c r="AI40" s="59"/>
      <c r="AJ40" s="34"/>
      <c r="AK40" s="34"/>
      <c r="AL40" s="34"/>
      <c r="AM40" s="85"/>
      <c r="AN40" s="97"/>
      <c r="AO40" s="93"/>
      <c r="AP40" s="85"/>
      <c r="AQ40" s="97"/>
      <c r="AR40" s="93"/>
      <c r="AS40" s="85"/>
      <c r="AT40" s="97"/>
      <c r="AU40" s="96"/>
      <c r="AV40" s="34"/>
    </row>
    <row r="41" spans="1:48" ht="21" customHeight="1" thickBot="1">
      <c r="A41" s="34"/>
      <c r="B41" s="34"/>
      <c r="C41" s="34"/>
      <c r="D41" s="62" t="s">
        <v>45</v>
      </c>
      <c r="E41" s="79">
        <v>12.1</v>
      </c>
      <c r="F41" s="80">
        <v>11.85</v>
      </c>
      <c r="G41" s="2">
        <v>0</v>
      </c>
      <c r="H41" s="79">
        <v>13.3</v>
      </c>
      <c r="I41" s="80">
        <v>13.05</v>
      </c>
      <c r="J41" s="82">
        <v>0</v>
      </c>
      <c r="K41" s="83">
        <v>0</v>
      </c>
      <c r="L41" s="84">
        <v>0</v>
      </c>
      <c r="O41" s="117">
        <v>2670</v>
      </c>
      <c r="P41" s="114">
        <v>0</v>
      </c>
      <c r="Q41" s="115">
        <v>0</v>
      </c>
      <c r="R41" s="116">
        <v>0</v>
      </c>
      <c r="T41" s="133">
        <v>2670</v>
      </c>
      <c r="U41" s="134"/>
      <c r="V41" s="135"/>
      <c r="W41" s="132"/>
      <c r="X41" s="59"/>
      <c r="Y41" s="92"/>
      <c r="Z41" s="92"/>
      <c r="AA41" s="59"/>
      <c r="AB41" s="92"/>
      <c r="AC41" s="92"/>
      <c r="AD41" s="59"/>
      <c r="AE41" s="59"/>
      <c r="AF41" s="59"/>
      <c r="AG41" s="59"/>
      <c r="AH41" s="59"/>
      <c r="AI41" s="59"/>
      <c r="AJ41" s="34"/>
      <c r="AK41" s="34"/>
      <c r="AL41" s="34"/>
      <c r="AM41" s="85"/>
      <c r="AN41" s="86"/>
      <c r="AO41" s="85"/>
      <c r="AP41" s="85"/>
      <c r="AQ41" s="86"/>
      <c r="AR41" s="85"/>
      <c r="AS41" s="85"/>
      <c r="AT41" s="97"/>
      <c r="AU41" s="96"/>
      <c r="AV41" s="34"/>
    </row>
    <row r="42" spans="1:48" ht="21" customHeight="1" thickBot="1">
      <c r="A42" s="34"/>
      <c r="B42" s="34"/>
      <c r="C42" s="34"/>
      <c r="D42" s="62" t="s">
        <v>48</v>
      </c>
      <c r="E42" s="90">
        <v>15.6</v>
      </c>
      <c r="F42" s="80">
        <v>15.35</v>
      </c>
      <c r="G42" s="2">
        <v>0</v>
      </c>
      <c r="H42" s="90">
        <v>16.8</v>
      </c>
      <c r="I42" s="80">
        <v>16.55</v>
      </c>
      <c r="J42" s="82">
        <v>0</v>
      </c>
      <c r="K42" s="83">
        <v>0</v>
      </c>
      <c r="L42" s="84">
        <v>0</v>
      </c>
      <c r="O42" s="117">
        <v>2920</v>
      </c>
      <c r="P42" s="142">
        <v>0</v>
      </c>
      <c r="Q42" s="143">
        <v>0</v>
      </c>
      <c r="R42" s="144">
        <v>0</v>
      </c>
      <c r="S42" s="122"/>
      <c r="T42" s="145">
        <v>2970</v>
      </c>
      <c r="U42" s="145"/>
      <c r="V42" s="146"/>
      <c r="W42" s="135"/>
      <c r="X42" s="59"/>
      <c r="Y42" s="92"/>
      <c r="Z42" s="92"/>
      <c r="AA42" s="59"/>
      <c r="AB42" s="92"/>
      <c r="AC42" s="92"/>
      <c r="AD42" s="59"/>
      <c r="AE42" s="59"/>
      <c r="AF42" s="59"/>
      <c r="AG42" s="59"/>
      <c r="AH42" s="59"/>
      <c r="AI42" s="59"/>
      <c r="AJ42" s="34"/>
      <c r="AK42" s="34"/>
      <c r="AL42" s="34"/>
      <c r="AM42" s="85"/>
      <c r="AN42" s="86"/>
      <c r="AO42" s="93"/>
      <c r="AP42" s="85"/>
      <c r="AQ42" s="86"/>
      <c r="AR42" s="93"/>
      <c r="AS42" s="85"/>
      <c r="AT42" s="97"/>
      <c r="AU42" s="96"/>
      <c r="AV42" s="34"/>
    </row>
    <row r="43" spans="1:48" ht="21" customHeight="1" thickBot="1">
      <c r="A43" s="34"/>
      <c r="B43" s="34"/>
      <c r="C43" s="34"/>
      <c r="D43" s="62" t="s">
        <v>51</v>
      </c>
      <c r="E43" s="90">
        <v>16.7</v>
      </c>
      <c r="F43" s="80">
        <v>16.45</v>
      </c>
      <c r="G43" s="2">
        <v>0</v>
      </c>
      <c r="H43" s="90">
        <v>19.399999999999999</v>
      </c>
      <c r="I43" s="80">
        <v>19.149999999999999</v>
      </c>
      <c r="J43" s="82">
        <v>0</v>
      </c>
      <c r="K43" s="83">
        <v>0</v>
      </c>
      <c r="L43" s="84">
        <v>0</v>
      </c>
      <c r="O43" s="117">
        <v>2960</v>
      </c>
      <c r="P43" s="147">
        <v>0</v>
      </c>
      <c r="Q43" s="148">
        <v>0</v>
      </c>
      <c r="R43" s="149">
        <v>0</v>
      </c>
      <c r="T43" s="150" t="s">
        <v>70</v>
      </c>
      <c r="U43" s="9"/>
      <c r="V43" s="151"/>
      <c r="W43" s="151"/>
      <c r="X43" s="59"/>
      <c r="Y43" s="92"/>
      <c r="Z43" s="92"/>
      <c r="AA43" s="59"/>
      <c r="AB43" s="92"/>
      <c r="AC43" s="92"/>
      <c r="AD43" s="59"/>
      <c r="AE43" s="59"/>
      <c r="AF43" s="59"/>
      <c r="AG43" s="59"/>
      <c r="AH43" s="59"/>
      <c r="AI43" s="59"/>
      <c r="AJ43" s="34"/>
      <c r="AK43" s="34"/>
      <c r="AL43" s="34"/>
      <c r="AM43" s="85"/>
      <c r="AN43" s="97"/>
      <c r="AO43" s="93"/>
      <c r="AP43" s="85"/>
      <c r="AQ43" s="97"/>
      <c r="AR43" s="93"/>
      <c r="AS43" s="85"/>
      <c r="AT43" s="97"/>
      <c r="AU43" s="96"/>
      <c r="AV43" s="34"/>
    </row>
    <row r="44" spans="1:48" ht="21" customHeight="1" thickBot="1">
      <c r="A44" s="34"/>
      <c r="B44" s="34"/>
      <c r="C44" s="34"/>
      <c r="D44" s="62" t="s">
        <v>52</v>
      </c>
      <c r="E44" s="90">
        <v>19.2</v>
      </c>
      <c r="F44" s="80">
        <v>18.95</v>
      </c>
      <c r="G44" s="2">
        <v>0</v>
      </c>
      <c r="H44" s="90">
        <v>23.45</v>
      </c>
      <c r="I44" s="80">
        <v>23.2</v>
      </c>
      <c r="J44" s="82">
        <v>0</v>
      </c>
      <c r="K44" s="83">
        <v>0</v>
      </c>
      <c r="L44" s="84">
        <v>0</v>
      </c>
      <c r="O44" s="117">
        <v>2970</v>
      </c>
      <c r="P44" s="114">
        <v>0</v>
      </c>
      <c r="Q44" s="115">
        <v>0</v>
      </c>
      <c r="R44" s="116">
        <v>0</v>
      </c>
      <c r="U44" s="34"/>
      <c r="V44" s="59"/>
      <c r="W44" s="92"/>
      <c r="X44" s="59"/>
      <c r="Y44" s="92"/>
      <c r="Z44" s="92"/>
      <c r="AA44" s="59"/>
      <c r="AB44" s="92"/>
      <c r="AC44" s="92"/>
      <c r="AD44" s="59"/>
      <c r="AE44" s="59"/>
      <c r="AF44" s="59"/>
      <c r="AG44" s="59"/>
      <c r="AH44" s="59"/>
      <c r="AI44" s="59"/>
      <c r="AJ44" s="34"/>
      <c r="AK44" s="34"/>
      <c r="AL44" s="34"/>
      <c r="AM44" s="85"/>
      <c r="AN44" s="97"/>
      <c r="AO44" s="93"/>
      <c r="AP44" s="85"/>
      <c r="AQ44" s="97"/>
      <c r="AR44" s="93"/>
      <c r="AS44" s="85"/>
      <c r="AT44" s="97"/>
      <c r="AU44" s="96"/>
      <c r="AV44" s="34"/>
    </row>
    <row r="45" spans="1:48" ht="21" customHeight="1" thickBot="1">
      <c r="A45" s="34"/>
      <c r="B45" s="34"/>
      <c r="C45" s="34"/>
      <c r="D45" s="62" t="s">
        <v>53</v>
      </c>
      <c r="E45" s="90">
        <v>20.45</v>
      </c>
      <c r="F45" s="80">
        <v>20.2</v>
      </c>
      <c r="G45" s="2">
        <v>0</v>
      </c>
      <c r="H45" s="90">
        <v>25</v>
      </c>
      <c r="I45" s="80">
        <v>24.75</v>
      </c>
      <c r="J45" s="82">
        <v>0</v>
      </c>
      <c r="K45" s="83">
        <v>0</v>
      </c>
      <c r="L45" s="84">
        <v>0</v>
      </c>
      <c r="O45" s="117">
        <v>4260</v>
      </c>
      <c r="P45" s="114">
        <v>0</v>
      </c>
      <c r="Q45" s="115">
        <v>0</v>
      </c>
      <c r="R45" s="116">
        <v>0</v>
      </c>
      <c r="U45" s="34"/>
      <c r="V45" s="59"/>
      <c r="W45" s="92"/>
      <c r="X45" s="59"/>
      <c r="Y45" s="92"/>
      <c r="Z45" s="92"/>
      <c r="AA45" s="59"/>
      <c r="AB45" s="92"/>
      <c r="AC45" s="92"/>
      <c r="AD45" s="59"/>
      <c r="AE45" s="59"/>
      <c r="AF45" s="59"/>
      <c r="AG45" s="59"/>
      <c r="AH45" s="59"/>
      <c r="AI45" s="59"/>
      <c r="AJ45" s="34"/>
      <c r="AK45" s="34"/>
      <c r="AL45" s="34"/>
      <c r="AM45" s="85"/>
      <c r="AN45" s="97"/>
      <c r="AO45" s="93"/>
      <c r="AP45" s="85"/>
      <c r="AQ45" s="97"/>
      <c r="AR45" s="93"/>
      <c r="AS45" s="85"/>
      <c r="AT45" s="97"/>
      <c r="AU45" s="96"/>
      <c r="AV45" s="34"/>
    </row>
    <row r="46" spans="1:48" ht="21" customHeight="1" thickBot="1">
      <c r="A46" s="34"/>
      <c r="B46" s="34"/>
      <c r="C46" s="34"/>
      <c r="D46" s="62" t="s">
        <v>54</v>
      </c>
      <c r="E46" s="90">
        <v>21.55</v>
      </c>
      <c r="F46" s="80">
        <v>21.3</v>
      </c>
      <c r="G46" s="2">
        <v>0</v>
      </c>
      <c r="H46" s="90">
        <v>27.45</v>
      </c>
      <c r="I46" s="80">
        <v>27.2</v>
      </c>
      <c r="J46" s="82">
        <v>0</v>
      </c>
      <c r="K46" s="83">
        <v>0</v>
      </c>
      <c r="L46" s="84">
        <v>0</v>
      </c>
      <c r="O46" s="117">
        <v>4370</v>
      </c>
      <c r="P46" s="114">
        <v>0</v>
      </c>
      <c r="Q46" s="115">
        <v>0</v>
      </c>
      <c r="R46" s="116">
        <v>0</v>
      </c>
      <c r="U46" s="34"/>
      <c r="V46" s="59"/>
      <c r="W46" s="92"/>
      <c r="X46" s="59"/>
      <c r="Y46" s="92"/>
      <c r="Z46" s="92"/>
      <c r="AA46" s="59"/>
      <c r="AB46" s="92"/>
      <c r="AC46" s="92"/>
      <c r="AD46" s="59"/>
      <c r="AE46" s="59"/>
      <c r="AF46" s="59"/>
      <c r="AG46" s="59"/>
      <c r="AH46" s="59"/>
      <c r="AI46" s="59"/>
      <c r="AJ46" s="34"/>
      <c r="AK46" s="34"/>
      <c r="AL46" s="34"/>
      <c r="AM46" s="85"/>
      <c r="AN46" s="97"/>
      <c r="AO46" s="93"/>
      <c r="AP46" s="85"/>
      <c r="AQ46" s="97"/>
      <c r="AR46" s="93"/>
      <c r="AS46" s="85"/>
      <c r="AT46" s="97"/>
      <c r="AU46" s="96"/>
      <c r="AV46" s="34"/>
    </row>
    <row r="47" spans="1:48" ht="21" customHeight="1" thickBot="1">
      <c r="A47" s="34"/>
      <c r="B47" s="34"/>
      <c r="C47" s="34"/>
      <c r="D47" s="62" t="s">
        <v>55</v>
      </c>
      <c r="E47" s="90">
        <v>23.25</v>
      </c>
      <c r="F47" s="80">
        <v>23</v>
      </c>
      <c r="G47" s="2">
        <v>0</v>
      </c>
      <c r="H47" s="90">
        <v>29.9</v>
      </c>
      <c r="I47" s="80">
        <v>29.65</v>
      </c>
      <c r="J47" s="82">
        <v>0</v>
      </c>
      <c r="K47" s="83">
        <v>0</v>
      </c>
      <c r="L47" s="84">
        <v>0</v>
      </c>
      <c r="O47" s="117" t="s">
        <v>71</v>
      </c>
      <c r="P47" s="114">
        <v>0</v>
      </c>
      <c r="Q47" s="115">
        <v>0</v>
      </c>
      <c r="R47" s="116">
        <v>0</v>
      </c>
      <c r="U47" s="34"/>
      <c r="V47" s="59"/>
      <c r="W47" s="92"/>
      <c r="X47" s="59"/>
      <c r="Y47" s="92"/>
      <c r="Z47" s="92"/>
      <c r="AA47" s="59"/>
      <c r="AB47" s="92"/>
      <c r="AC47" s="92"/>
      <c r="AD47" s="59"/>
      <c r="AE47" s="59"/>
      <c r="AF47" s="59"/>
      <c r="AG47" s="59"/>
      <c r="AH47" s="59"/>
      <c r="AI47" s="59"/>
      <c r="AJ47" s="34"/>
      <c r="AK47" s="34"/>
      <c r="AL47" s="34"/>
      <c r="AM47" s="85"/>
      <c r="AN47" s="97"/>
      <c r="AO47" s="93"/>
      <c r="AP47" s="85"/>
      <c r="AQ47" s="97"/>
      <c r="AR47" s="93"/>
      <c r="AS47" s="85"/>
      <c r="AT47" s="97"/>
      <c r="AU47" s="96"/>
      <c r="AV47" s="34"/>
    </row>
    <row r="48" spans="1:48" ht="21" customHeight="1" thickBot="1">
      <c r="A48" s="34"/>
      <c r="B48" s="34"/>
      <c r="C48" s="34"/>
      <c r="D48" s="62" t="s">
        <v>56</v>
      </c>
      <c r="E48" s="105">
        <v>24.45</v>
      </c>
      <c r="F48" s="80">
        <v>24.2</v>
      </c>
      <c r="G48" s="2">
        <v>0</v>
      </c>
      <c r="H48" s="105">
        <v>32.5</v>
      </c>
      <c r="I48" s="80">
        <v>32.25</v>
      </c>
      <c r="J48" s="82">
        <v>0</v>
      </c>
      <c r="K48" s="83">
        <v>0</v>
      </c>
      <c r="L48" s="84">
        <v>0</v>
      </c>
      <c r="O48" s="117">
        <v>4430</v>
      </c>
      <c r="P48" s="114">
        <v>0</v>
      </c>
      <c r="Q48" s="115">
        <v>0</v>
      </c>
      <c r="R48" s="116">
        <v>0</v>
      </c>
      <c r="U48" s="34"/>
      <c r="V48" s="59"/>
      <c r="W48" s="92"/>
      <c r="X48" s="59"/>
      <c r="Y48" s="92"/>
      <c r="Z48" s="92"/>
      <c r="AA48" s="59"/>
      <c r="AB48" s="92"/>
      <c r="AC48" s="92"/>
      <c r="AD48" s="59"/>
      <c r="AE48" s="59"/>
      <c r="AF48" s="59"/>
      <c r="AG48" s="59"/>
      <c r="AH48" s="59"/>
      <c r="AI48" s="59"/>
      <c r="AJ48" s="34"/>
      <c r="AK48" s="34"/>
      <c r="AL48" s="34"/>
      <c r="AM48" s="85"/>
      <c r="AN48" s="97"/>
      <c r="AO48" s="93"/>
      <c r="AP48" s="85"/>
      <c r="AQ48" s="97"/>
      <c r="AR48" s="93"/>
      <c r="AS48" s="85"/>
      <c r="AT48" s="97"/>
      <c r="AU48" s="96"/>
      <c r="AV48" s="34"/>
    </row>
    <row r="49" spans="1:48" ht="21" customHeight="1" thickBot="1">
      <c r="A49" s="34"/>
      <c r="B49" s="34"/>
      <c r="C49" s="34"/>
      <c r="D49" s="62" t="s">
        <v>57</v>
      </c>
      <c r="E49" s="105">
        <v>25.4</v>
      </c>
      <c r="F49" s="80">
        <v>25.15</v>
      </c>
      <c r="G49" s="2">
        <v>0</v>
      </c>
      <c r="H49" s="105">
        <v>34.9</v>
      </c>
      <c r="I49" s="80">
        <v>34.65</v>
      </c>
      <c r="J49" s="82">
        <v>0</v>
      </c>
      <c r="K49" s="83">
        <v>0</v>
      </c>
      <c r="L49" s="84">
        <v>0</v>
      </c>
      <c r="O49" s="117">
        <v>4500</v>
      </c>
      <c r="P49" s="114">
        <v>0</v>
      </c>
      <c r="Q49" s="115">
        <v>0</v>
      </c>
      <c r="R49" s="116">
        <v>0</v>
      </c>
      <c r="U49" s="34"/>
      <c r="V49" s="59"/>
      <c r="W49" s="92"/>
      <c r="X49" s="59"/>
      <c r="Y49" s="92"/>
      <c r="Z49" s="92"/>
      <c r="AA49" s="59"/>
      <c r="AB49" s="92"/>
      <c r="AC49" s="92"/>
      <c r="AD49" s="59"/>
      <c r="AE49" s="59"/>
      <c r="AF49" s="59"/>
      <c r="AG49" s="59"/>
      <c r="AH49" s="59"/>
      <c r="AI49" s="59"/>
      <c r="AJ49" s="34"/>
      <c r="AK49" s="34"/>
      <c r="AL49" s="34"/>
      <c r="AM49" s="85"/>
      <c r="AN49" s="97"/>
      <c r="AO49" s="93"/>
      <c r="AP49" s="85"/>
      <c r="AQ49" s="97"/>
      <c r="AR49" s="93"/>
      <c r="AS49" s="85"/>
      <c r="AT49" s="97"/>
      <c r="AU49" s="96"/>
      <c r="AV49" s="34"/>
    </row>
    <row r="50" spans="1:48" ht="21" customHeight="1" thickBot="1">
      <c r="A50" s="59"/>
      <c r="B50" s="59"/>
      <c r="C50" s="152"/>
      <c r="D50" s="62" t="s">
        <v>58</v>
      </c>
      <c r="E50" s="107">
        <v>26.55</v>
      </c>
      <c r="F50" s="80">
        <v>26.3</v>
      </c>
      <c r="G50" s="2">
        <v>0</v>
      </c>
      <c r="H50" s="107">
        <v>37.6</v>
      </c>
      <c r="I50" s="80">
        <v>37.35</v>
      </c>
      <c r="J50" s="82">
        <v>0</v>
      </c>
      <c r="K50" s="83">
        <v>0</v>
      </c>
      <c r="L50" s="84">
        <v>0</v>
      </c>
      <c r="O50" s="117">
        <v>4610</v>
      </c>
      <c r="P50" s="114">
        <v>0</v>
      </c>
      <c r="Q50" s="115">
        <v>0</v>
      </c>
      <c r="R50" s="116">
        <v>0</v>
      </c>
      <c r="U50" s="34"/>
      <c r="V50" s="59"/>
      <c r="W50" s="92"/>
      <c r="X50" s="59"/>
      <c r="Y50" s="92"/>
      <c r="Z50" s="92"/>
      <c r="AA50" s="59"/>
      <c r="AB50" s="92"/>
      <c r="AC50" s="92"/>
      <c r="AD50" s="59"/>
      <c r="AE50" s="59"/>
      <c r="AF50" s="59"/>
      <c r="AG50" s="59"/>
      <c r="AH50" s="59"/>
      <c r="AI50" s="59"/>
      <c r="AJ50" s="34"/>
      <c r="AK50" s="34"/>
      <c r="AL50" s="34"/>
      <c r="AM50" s="85"/>
      <c r="AN50" s="97"/>
      <c r="AO50" s="93"/>
      <c r="AP50" s="85"/>
      <c r="AQ50" s="97"/>
      <c r="AR50" s="93"/>
      <c r="AS50" s="85"/>
      <c r="AT50" s="97"/>
      <c r="AU50" s="96"/>
      <c r="AV50" s="34"/>
    </row>
    <row r="51" spans="1:48" ht="21" customHeight="1" thickBot="1">
      <c r="A51" s="59"/>
      <c r="B51" s="59"/>
      <c r="C51" s="129"/>
      <c r="D51" s="2"/>
      <c r="E51" s="110" t="s">
        <v>37</v>
      </c>
      <c r="F51" s="111" t="s">
        <v>39</v>
      </c>
      <c r="G51" s="2"/>
      <c r="H51" s="2"/>
      <c r="I51" s="2" t="s">
        <v>39</v>
      </c>
      <c r="J51" s="82"/>
      <c r="K51" s="112"/>
      <c r="L51" s="112"/>
      <c r="O51" s="117">
        <v>4660</v>
      </c>
      <c r="P51" s="114">
        <v>0</v>
      </c>
      <c r="Q51" s="115">
        <v>0</v>
      </c>
      <c r="R51" s="116">
        <v>0</v>
      </c>
      <c r="U51" s="34"/>
      <c r="V51" s="59"/>
      <c r="W51" s="59"/>
      <c r="X51" s="59"/>
      <c r="Y51" s="59"/>
      <c r="Z51" s="59"/>
      <c r="AA51" s="59"/>
      <c r="AB51" s="59"/>
      <c r="AC51" s="92"/>
      <c r="AD51" s="59"/>
      <c r="AE51" s="59"/>
      <c r="AF51" s="59"/>
      <c r="AG51" s="59"/>
      <c r="AH51" s="59"/>
      <c r="AI51" s="59"/>
      <c r="AJ51" s="34"/>
      <c r="AK51" s="34"/>
      <c r="AL51" s="34"/>
      <c r="AM51" s="85"/>
      <c r="AN51" s="97"/>
      <c r="AO51" s="93"/>
      <c r="AP51" s="85"/>
      <c r="AQ51" s="97"/>
      <c r="AR51" s="93"/>
      <c r="AS51" s="85"/>
      <c r="AT51" s="97"/>
      <c r="AU51" s="96"/>
      <c r="AV51" s="34"/>
    </row>
    <row r="52" spans="1:48" ht="21" customHeight="1" thickBot="1">
      <c r="A52" s="59"/>
      <c r="B52" s="59"/>
      <c r="C52" s="129"/>
      <c r="D52" s="2"/>
      <c r="E52" s="110" t="s">
        <v>72</v>
      </c>
      <c r="F52" s="69" t="s">
        <v>72</v>
      </c>
      <c r="G52" s="2"/>
      <c r="H52" s="2" t="s">
        <v>73</v>
      </c>
      <c r="I52" s="2" t="s">
        <v>73</v>
      </c>
      <c r="J52" s="82"/>
      <c r="K52" s="112"/>
      <c r="L52" s="112"/>
      <c r="O52" s="117" t="s">
        <v>74</v>
      </c>
      <c r="P52" s="114">
        <v>4</v>
      </c>
      <c r="Q52" s="115">
        <v>40.6</v>
      </c>
      <c r="R52" s="116">
        <v>1</v>
      </c>
      <c r="U52" s="34"/>
      <c r="V52" s="59"/>
      <c r="W52" s="59"/>
      <c r="X52" s="59"/>
      <c r="Y52" s="59"/>
      <c r="Z52" s="59"/>
      <c r="AA52" s="59"/>
      <c r="AB52" s="59"/>
      <c r="AC52" s="92"/>
      <c r="AD52" s="59"/>
      <c r="AE52" s="59"/>
      <c r="AF52" s="59"/>
      <c r="AG52" s="59"/>
      <c r="AH52" s="59"/>
      <c r="AI52" s="59"/>
      <c r="AJ52" s="34"/>
      <c r="AK52" s="34"/>
      <c r="AL52" s="34"/>
      <c r="AM52" s="85"/>
      <c r="AN52" s="97"/>
      <c r="AO52" s="93"/>
      <c r="AP52" s="85"/>
      <c r="AQ52" s="97"/>
      <c r="AR52" s="93"/>
      <c r="AS52" s="85"/>
      <c r="AT52" s="97"/>
      <c r="AU52" s="96"/>
      <c r="AV52" s="34"/>
    </row>
    <row r="53" spans="1:48" ht="21" customHeight="1" thickBot="1">
      <c r="A53" s="59"/>
      <c r="B53" s="59"/>
      <c r="C53" s="129"/>
      <c r="D53" s="62" t="s">
        <v>45</v>
      </c>
      <c r="E53" s="79">
        <v>14.45</v>
      </c>
      <c r="F53" s="80">
        <v>14.2</v>
      </c>
      <c r="G53" s="2">
        <v>0</v>
      </c>
      <c r="H53" s="153">
        <v>15.7</v>
      </c>
      <c r="I53" s="154">
        <v>15.45</v>
      </c>
      <c r="J53" s="82">
        <v>0</v>
      </c>
      <c r="K53" s="83">
        <v>0</v>
      </c>
      <c r="L53" s="84">
        <v>0</v>
      </c>
      <c r="O53" s="117" t="s">
        <v>75</v>
      </c>
      <c r="P53" s="114">
        <v>12</v>
      </c>
      <c r="Q53" s="115">
        <v>121.8</v>
      </c>
      <c r="R53" s="116">
        <v>3</v>
      </c>
      <c r="U53" s="34"/>
      <c r="V53" s="59"/>
      <c r="W53" s="92"/>
      <c r="X53" s="59"/>
      <c r="Y53" s="92"/>
      <c r="Z53" s="59"/>
      <c r="AA53" s="59"/>
      <c r="AB53" s="59"/>
      <c r="AC53" s="92"/>
      <c r="AD53" s="59"/>
      <c r="AE53" s="59"/>
      <c r="AF53" s="59"/>
      <c r="AG53" s="59"/>
      <c r="AH53" s="59"/>
      <c r="AI53" s="59"/>
      <c r="AJ53" s="34"/>
      <c r="AK53" s="34"/>
      <c r="AL53" s="34"/>
      <c r="AM53" s="85"/>
      <c r="AN53" s="86"/>
      <c r="AO53" s="85"/>
      <c r="AP53" s="34"/>
      <c r="AQ53" s="34"/>
      <c r="AR53" s="34"/>
      <c r="AS53" s="34"/>
      <c r="AT53" s="97"/>
      <c r="AU53" s="96"/>
      <c r="AV53" s="34"/>
    </row>
    <row r="54" spans="1:48" ht="21" customHeight="1" thickBot="1">
      <c r="A54" s="59"/>
      <c r="B54" s="59"/>
      <c r="C54" s="129"/>
      <c r="D54" s="62" t="s">
        <v>48</v>
      </c>
      <c r="E54" s="90">
        <v>18</v>
      </c>
      <c r="F54" s="80">
        <v>17.75</v>
      </c>
      <c r="G54" s="2">
        <v>0</v>
      </c>
      <c r="H54" s="153">
        <v>19.95</v>
      </c>
      <c r="I54" s="154">
        <v>19.7</v>
      </c>
      <c r="J54" s="82">
        <v>0</v>
      </c>
      <c r="K54" s="83">
        <v>0</v>
      </c>
      <c r="L54" s="84">
        <v>0</v>
      </c>
      <c r="O54" s="117" t="s">
        <v>76</v>
      </c>
      <c r="P54" s="114">
        <v>0</v>
      </c>
      <c r="Q54" s="115">
        <v>0</v>
      </c>
      <c r="R54" s="116">
        <v>0</v>
      </c>
      <c r="U54" s="34"/>
      <c r="V54" s="59"/>
      <c r="W54" s="92"/>
      <c r="X54" s="59"/>
      <c r="Y54" s="92"/>
      <c r="Z54" s="59"/>
      <c r="AA54" s="59"/>
      <c r="AB54" s="59"/>
      <c r="AC54" s="92"/>
      <c r="AD54" s="59"/>
      <c r="AE54" s="59"/>
      <c r="AF54" s="59"/>
      <c r="AG54" s="59"/>
      <c r="AH54" s="59"/>
      <c r="AI54" s="59"/>
      <c r="AJ54" s="34"/>
      <c r="AK54" s="34"/>
      <c r="AL54" s="34"/>
      <c r="AM54" s="85"/>
      <c r="AN54" s="86"/>
      <c r="AO54" s="93"/>
      <c r="AP54" s="34"/>
      <c r="AQ54" s="34"/>
      <c r="AR54" s="34"/>
      <c r="AS54" s="34"/>
      <c r="AT54" s="97"/>
      <c r="AU54" s="96"/>
      <c r="AV54" s="34"/>
    </row>
    <row r="55" spans="1:48" ht="21" customHeight="1" thickBot="1">
      <c r="A55" s="59"/>
      <c r="B55" s="59"/>
      <c r="C55" s="129"/>
      <c r="D55" s="62" t="s">
        <v>51</v>
      </c>
      <c r="E55" s="90">
        <v>22.1</v>
      </c>
      <c r="F55" s="80">
        <v>21.85</v>
      </c>
      <c r="G55" s="2">
        <v>0</v>
      </c>
      <c r="H55" s="153">
        <v>25.1</v>
      </c>
      <c r="I55" s="154">
        <v>24.85</v>
      </c>
      <c r="J55" s="82">
        <v>0</v>
      </c>
      <c r="K55" s="83">
        <v>0</v>
      </c>
      <c r="L55" s="84">
        <v>0</v>
      </c>
      <c r="O55" s="117">
        <v>4810</v>
      </c>
      <c r="P55" s="114">
        <v>0</v>
      </c>
      <c r="Q55" s="115">
        <v>0</v>
      </c>
      <c r="R55" s="116">
        <v>0</v>
      </c>
      <c r="U55" s="34"/>
      <c r="V55" s="59"/>
      <c r="W55" s="92"/>
      <c r="X55" s="59"/>
      <c r="Y55" s="92"/>
      <c r="Z55" s="59"/>
      <c r="AA55" s="59"/>
      <c r="AB55" s="59"/>
      <c r="AC55" s="92"/>
      <c r="AD55" s="59"/>
      <c r="AE55" s="59"/>
      <c r="AF55" s="59"/>
      <c r="AG55" s="59"/>
      <c r="AH55" s="59"/>
      <c r="AI55" s="59"/>
      <c r="AJ55" s="34"/>
      <c r="AK55" s="34"/>
      <c r="AL55" s="34"/>
      <c r="AM55" s="85"/>
      <c r="AN55" s="97"/>
      <c r="AO55" s="93"/>
      <c r="AP55" s="85"/>
      <c r="AQ55" s="34"/>
      <c r="AR55" s="34"/>
      <c r="AS55" s="34"/>
      <c r="AT55" s="97"/>
      <c r="AU55" s="96"/>
      <c r="AV55" s="34"/>
    </row>
    <row r="56" spans="1:48" ht="21" customHeight="1" thickBot="1">
      <c r="A56" s="59"/>
      <c r="B56" s="59"/>
      <c r="C56" s="129"/>
      <c r="D56" s="62" t="s">
        <v>52</v>
      </c>
      <c r="E56" s="90">
        <v>26.3</v>
      </c>
      <c r="F56" s="80">
        <v>26.05</v>
      </c>
      <c r="G56" s="2">
        <v>0</v>
      </c>
      <c r="H56" s="153">
        <v>29.5</v>
      </c>
      <c r="I56" s="154">
        <v>29.25</v>
      </c>
      <c r="J56" s="82">
        <v>0</v>
      </c>
      <c r="K56" s="83">
        <v>0</v>
      </c>
      <c r="L56" s="84">
        <v>0</v>
      </c>
      <c r="O56" s="117">
        <v>4930</v>
      </c>
      <c r="P56" s="114">
        <v>0</v>
      </c>
      <c r="Q56" s="115">
        <v>0</v>
      </c>
      <c r="R56" s="116">
        <v>0</v>
      </c>
      <c r="U56" s="34"/>
      <c r="V56" s="59"/>
      <c r="W56" s="92"/>
      <c r="X56" s="59"/>
      <c r="Y56" s="92"/>
      <c r="Z56" s="59"/>
      <c r="AA56" s="59"/>
      <c r="AB56" s="59"/>
      <c r="AC56" s="92"/>
      <c r="AD56" s="59"/>
      <c r="AE56" s="59"/>
      <c r="AF56" s="59"/>
      <c r="AG56" s="59"/>
      <c r="AH56" s="59"/>
      <c r="AI56" s="59"/>
      <c r="AJ56" s="34"/>
      <c r="AK56" s="34"/>
      <c r="AL56" s="34"/>
      <c r="AM56" s="85"/>
      <c r="AN56" s="97"/>
      <c r="AO56" s="93"/>
      <c r="AP56" s="85"/>
      <c r="AQ56" s="34"/>
      <c r="AR56" s="34"/>
      <c r="AS56" s="34"/>
      <c r="AT56" s="97"/>
      <c r="AU56" s="96"/>
      <c r="AV56" s="34"/>
    </row>
    <row r="57" spans="1:48" ht="21" customHeight="1" thickBot="1">
      <c r="A57" s="59"/>
      <c r="B57" s="59"/>
      <c r="C57" s="129"/>
      <c r="D57" s="62" t="s">
        <v>53</v>
      </c>
      <c r="E57" s="90">
        <v>30.3</v>
      </c>
      <c r="F57" s="80">
        <v>30.05</v>
      </c>
      <c r="G57" s="2">
        <v>0</v>
      </c>
      <c r="H57" s="153">
        <v>34.15</v>
      </c>
      <c r="I57" s="154">
        <v>33.9</v>
      </c>
      <c r="J57" s="82">
        <v>0</v>
      </c>
      <c r="K57" s="83">
        <v>0</v>
      </c>
      <c r="L57" s="84">
        <v>0</v>
      </c>
      <c r="O57" s="117">
        <v>5040</v>
      </c>
      <c r="P57" s="114">
        <v>1</v>
      </c>
      <c r="Q57" s="115">
        <v>10.15</v>
      </c>
      <c r="R57" s="116">
        <v>0.25</v>
      </c>
      <c r="U57" s="34"/>
      <c r="V57" s="59"/>
      <c r="W57" s="92"/>
      <c r="X57" s="59"/>
      <c r="Y57" s="92"/>
      <c r="Z57" s="59"/>
      <c r="AA57" s="59"/>
      <c r="AB57" s="59"/>
      <c r="AC57" s="92"/>
      <c r="AD57" s="59"/>
      <c r="AE57" s="59"/>
      <c r="AF57" s="59"/>
      <c r="AG57" s="59"/>
      <c r="AH57" s="59"/>
      <c r="AI57" s="59"/>
      <c r="AJ57" s="34"/>
      <c r="AK57" s="34"/>
      <c r="AL57" s="34"/>
      <c r="AM57" s="85"/>
      <c r="AN57" s="97"/>
      <c r="AO57" s="93"/>
      <c r="AP57" s="85"/>
      <c r="AQ57" s="34"/>
      <c r="AR57" s="34"/>
      <c r="AS57" s="34"/>
      <c r="AT57" s="97"/>
      <c r="AU57" s="96"/>
      <c r="AV57" s="34"/>
    </row>
    <row r="58" spans="1:48" ht="21" customHeight="1" thickBot="1">
      <c r="A58" s="59"/>
      <c r="B58" s="59"/>
      <c r="C58" s="129"/>
      <c r="D58" s="62" t="s">
        <v>54</v>
      </c>
      <c r="E58" s="90">
        <v>34.25</v>
      </c>
      <c r="F58" s="80">
        <v>34</v>
      </c>
      <c r="G58" s="2">
        <v>0</v>
      </c>
      <c r="H58" s="153">
        <v>38.75</v>
      </c>
      <c r="I58" s="154">
        <v>38.5</v>
      </c>
      <c r="J58" s="82">
        <v>0</v>
      </c>
      <c r="K58" s="83">
        <v>0</v>
      </c>
      <c r="L58" s="84">
        <v>0</v>
      </c>
      <c r="O58" s="117">
        <v>5630</v>
      </c>
      <c r="P58" s="114">
        <v>0</v>
      </c>
      <c r="Q58" s="115">
        <v>0</v>
      </c>
      <c r="R58" s="116">
        <v>0</v>
      </c>
      <c r="U58" s="34"/>
      <c r="V58" s="59"/>
      <c r="W58" s="92"/>
      <c r="X58" s="59"/>
      <c r="Y58" s="92"/>
      <c r="Z58" s="59"/>
      <c r="AA58" s="59"/>
      <c r="AB58" s="59"/>
      <c r="AC58" s="92"/>
      <c r="AD58" s="59"/>
      <c r="AE58" s="59"/>
      <c r="AF58" s="59"/>
      <c r="AG58" s="59"/>
      <c r="AH58" s="59"/>
      <c r="AI58" s="59"/>
      <c r="AJ58" s="34"/>
      <c r="AK58" s="34"/>
      <c r="AL58" s="34"/>
      <c r="AM58" s="85"/>
      <c r="AN58" s="97"/>
      <c r="AO58" s="93"/>
      <c r="AP58" s="85"/>
      <c r="AQ58" s="34"/>
      <c r="AR58" s="34"/>
      <c r="AS58" s="34"/>
      <c r="AT58" s="97"/>
      <c r="AU58" s="96"/>
      <c r="AV58" s="34"/>
    </row>
    <row r="59" spans="1:48" ht="21" customHeight="1" thickBot="1">
      <c r="A59" s="59"/>
      <c r="B59" s="59"/>
      <c r="C59" s="129"/>
      <c r="D59" s="62" t="s">
        <v>55</v>
      </c>
      <c r="E59" s="90">
        <v>38.1</v>
      </c>
      <c r="F59" s="80">
        <v>37.85</v>
      </c>
      <c r="G59" s="2">
        <v>0</v>
      </c>
      <c r="H59" s="153">
        <v>43.3</v>
      </c>
      <c r="I59" s="154">
        <v>43.05</v>
      </c>
      <c r="J59" s="82">
        <v>0</v>
      </c>
      <c r="K59" s="83">
        <v>0</v>
      </c>
      <c r="L59" s="84">
        <v>0</v>
      </c>
      <c r="O59" s="117">
        <v>5160</v>
      </c>
      <c r="P59" s="114">
        <v>0</v>
      </c>
      <c r="Q59" s="115">
        <v>0</v>
      </c>
      <c r="R59" s="116">
        <v>0</v>
      </c>
      <c r="U59" s="34"/>
      <c r="V59" s="59"/>
      <c r="W59" s="92"/>
      <c r="X59" s="59"/>
      <c r="Y59" s="92"/>
      <c r="Z59" s="59"/>
      <c r="AA59" s="59"/>
      <c r="AB59" s="59"/>
      <c r="AC59" s="92"/>
      <c r="AD59" s="59"/>
      <c r="AE59" s="59"/>
      <c r="AF59" s="59"/>
      <c r="AG59" s="59"/>
      <c r="AH59" s="59"/>
      <c r="AI59" s="59"/>
      <c r="AJ59" s="34"/>
      <c r="AK59" s="34"/>
      <c r="AL59" s="34"/>
      <c r="AM59" s="85"/>
      <c r="AN59" s="97"/>
      <c r="AO59" s="93"/>
      <c r="AP59" s="85"/>
      <c r="AQ59" s="34"/>
      <c r="AR59" s="34"/>
      <c r="AS59" s="34"/>
      <c r="AT59" s="97"/>
      <c r="AU59" s="96"/>
      <c r="AV59" s="34"/>
    </row>
    <row r="60" spans="1:48" ht="21" customHeight="1" thickBot="1">
      <c r="A60" s="59"/>
      <c r="B60" s="59"/>
      <c r="C60" s="129"/>
      <c r="D60" s="62" t="s">
        <v>56</v>
      </c>
      <c r="E60" s="105">
        <v>42</v>
      </c>
      <c r="F60" s="80">
        <v>41.75</v>
      </c>
      <c r="G60" s="2">
        <v>0</v>
      </c>
      <c r="H60" s="153">
        <v>47.85</v>
      </c>
      <c r="I60" s="154">
        <v>47.6</v>
      </c>
      <c r="J60" s="82">
        <v>0</v>
      </c>
      <c r="K60" s="83">
        <v>0</v>
      </c>
      <c r="L60" s="84">
        <v>0</v>
      </c>
      <c r="O60" s="117">
        <v>5200</v>
      </c>
      <c r="P60" s="114">
        <v>0</v>
      </c>
      <c r="Q60" s="115">
        <v>0</v>
      </c>
      <c r="R60" s="116">
        <v>0</v>
      </c>
      <c r="U60" s="34"/>
      <c r="V60" s="59"/>
      <c r="W60" s="92"/>
      <c r="X60" s="59"/>
      <c r="Y60" s="92"/>
      <c r="Z60" s="59"/>
      <c r="AA60" s="59"/>
      <c r="AB60" s="59"/>
      <c r="AC60" s="92"/>
      <c r="AD60" s="59"/>
      <c r="AE60" s="59"/>
      <c r="AF60" s="59"/>
      <c r="AG60" s="59"/>
      <c r="AH60" s="59"/>
      <c r="AI60" s="59"/>
      <c r="AJ60" s="34"/>
      <c r="AK60" s="34"/>
      <c r="AL60" s="34"/>
      <c r="AM60" s="85"/>
      <c r="AN60" s="97"/>
      <c r="AO60" s="93"/>
      <c r="AP60" s="85"/>
      <c r="AQ60" s="34"/>
      <c r="AR60" s="34"/>
      <c r="AS60" s="34"/>
      <c r="AT60" s="97"/>
      <c r="AU60" s="96"/>
      <c r="AV60" s="34"/>
    </row>
    <row r="61" spans="1:48" ht="21" customHeight="1" thickBot="1">
      <c r="A61" s="59"/>
      <c r="B61" s="59"/>
      <c r="C61" s="129"/>
      <c r="D61" s="62" t="s">
        <v>57</v>
      </c>
      <c r="E61" s="105">
        <v>45.8</v>
      </c>
      <c r="F61" s="80">
        <v>45.55</v>
      </c>
      <c r="G61" s="2">
        <v>0</v>
      </c>
      <c r="H61" s="153">
        <v>52.25</v>
      </c>
      <c r="I61" s="154">
        <v>52</v>
      </c>
      <c r="J61" s="82">
        <v>0</v>
      </c>
      <c r="K61" s="83">
        <v>0</v>
      </c>
      <c r="L61" s="84">
        <v>0</v>
      </c>
      <c r="O61" s="117">
        <v>5240</v>
      </c>
      <c r="P61" s="114">
        <v>0</v>
      </c>
      <c r="Q61" s="115">
        <v>0</v>
      </c>
      <c r="R61" s="116">
        <v>0</v>
      </c>
      <c r="U61" s="34"/>
      <c r="V61" s="59"/>
      <c r="W61" s="92"/>
      <c r="X61" s="59"/>
      <c r="Y61" s="92"/>
      <c r="Z61" s="59"/>
      <c r="AA61" s="59"/>
      <c r="AB61" s="59"/>
      <c r="AC61" s="92"/>
      <c r="AD61" s="59"/>
      <c r="AE61" s="59"/>
      <c r="AF61" s="59"/>
      <c r="AG61" s="59"/>
      <c r="AH61" s="59"/>
      <c r="AI61" s="59"/>
      <c r="AJ61" s="34"/>
      <c r="AK61" s="34"/>
      <c r="AL61" s="34"/>
      <c r="AM61" s="85"/>
      <c r="AN61" s="97"/>
      <c r="AO61" s="93"/>
      <c r="AP61" s="85"/>
      <c r="AQ61" s="34"/>
      <c r="AR61" s="34"/>
      <c r="AS61" s="34"/>
      <c r="AT61" s="97"/>
      <c r="AU61" s="96"/>
      <c r="AV61" s="34"/>
    </row>
    <row r="62" spans="1:48" ht="21" customHeight="1" thickBot="1">
      <c r="A62" s="59"/>
      <c r="B62" s="59"/>
      <c r="C62" s="129"/>
      <c r="D62" s="62" t="s">
        <v>58</v>
      </c>
      <c r="E62" s="107">
        <v>49.6</v>
      </c>
      <c r="F62" s="80">
        <v>49.35</v>
      </c>
      <c r="G62" s="2">
        <v>0</v>
      </c>
      <c r="H62" s="153">
        <v>56.75</v>
      </c>
      <c r="I62" s="154">
        <v>56.5</v>
      </c>
      <c r="J62" s="82">
        <v>0</v>
      </c>
      <c r="K62" s="83">
        <v>0</v>
      </c>
      <c r="L62" s="84">
        <v>0</v>
      </c>
      <c r="O62" s="117">
        <v>5510</v>
      </c>
      <c r="P62" s="114">
        <v>0</v>
      </c>
      <c r="Q62" s="115">
        <v>0</v>
      </c>
      <c r="R62" s="116">
        <v>0</v>
      </c>
      <c r="U62" s="34"/>
      <c r="V62" s="59"/>
      <c r="W62" s="92"/>
      <c r="X62" s="59"/>
      <c r="Y62" s="92"/>
      <c r="Z62" s="59"/>
      <c r="AA62" s="59"/>
      <c r="AB62" s="59"/>
      <c r="AC62" s="92"/>
      <c r="AD62" s="59"/>
      <c r="AE62" s="59"/>
      <c r="AF62" s="59"/>
      <c r="AG62" s="59"/>
      <c r="AH62" s="59"/>
      <c r="AI62" s="59"/>
      <c r="AJ62" s="34"/>
      <c r="AK62" s="34"/>
      <c r="AL62" s="34"/>
      <c r="AM62" s="85"/>
      <c r="AN62" s="97"/>
      <c r="AO62" s="93"/>
      <c r="AP62" s="85"/>
      <c r="AQ62" s="34"/>
      <c r="AR62" s="34"/>
      <c r="AS62" s="34"/>
      <c r="AT62" s="97"/>
      <c r="AU62" s="96"/>
      <c r="AV62" s="34"/>
    </row>
    <row r="63" spans="1:48" ht="21" customHeight="1" thickBot="1">
      <c r="A63" s="59"/>
      <c r="B63" s="59"/>
      <c r="C63" s="129"/>
      <c r="G63" s="155">
        <v>289</v>
      </c>
      <c r="J63" s="156">
        <v>155</v>
      </c>
      <c r="K63" s="97"/>
      <c r="L63" s="157"/>
      <c r="O63" s="117">
        <v>5600</v>
      </c>
      <c r="P63" s="114">
        <v>3</v>
      </c>
      <c r="Q63" s="115">
        <v>33.35</v>
      </c>
      <c r="R63" s="116">
        <v>0.75</v>
      </c>
      <c r="U63" s="34"/>
      <c r="V63" s="59"/>
      <c r="W63" s="59"/>
      <c r="X63" s="158"/>
      <c r="Y63" s="141"/>
      <c r="Z63" s="59"/>
      <c r="AA63" s="158"/>
      <c r="AB63" s="141"/>
      <c r="AC63" s="141"/>
      <c r="AD63" s="59"/>
      <c r="AE63" s="59"/>
      <c r="AF63" s="59"/>
      <c r="AG63" s="59"/>
      <c r="AH63" s="59"/>
      <c r="AI63" s="59"/>
      <c r="AJ63" s="34"/>
      <c r="AK63" s="34"/>
      <c r="AL63" s="34"/>
      <c r="AM63" s="85"/>
      <c r="AN63" s="97"/>
      <c r="AO63" s="93"/>
      <c r="AP63" s="85"/>
      <c r="AQ63" s="34"/>
      <c r="AR63" s="34"/>
      <c r="AS63" s="34"/>
      <c r="AT63" s="97"/>
      <c r="AU63" s="96"/>
      <c r="AV63" s="34"/>
    </row>
    <row r="64" spans="1:48" ht="21" customHeight="1" thickBot="1">
      <c r="A64" s="59"/>
      <c r="B64" s="59"/>
      <c r="C64" s="59"/>
      <c r="E64" s="85"/>
      <c r="F64" s="29" t="s">
        <v>77</v>
      </c>
      <c r="G64" s="82">
        <v>462</v>
      </c>
      <c r="H64" s="85"/>
      <c r="I64" s="85"/>
      <c r="J64" s="85"/>
      <c r="K64" s="159"/>
      <c r="L64" s="160" t="s">
        <v>78</v>
      </c>
      <c r="O64" s="117">
        <v>5650</v>
      </c>
      <c r="P64" s="114">
        <v>13</v>
      </c>
      <c r="Q64" s="115">
        <v>156.75</v>
      </c>
      <c r="R64" s="116">
        <v>3.25</v>
      </c>
      <c r="U64" s="34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34"/>
      <c r="AK64" s="34"/>
      <c r="AL64" s="34"/>
      <c r="AM64" s="85"/>
      <c r="AN64" s="97"/>
      <c r="AO64" s="93"/>
      <c r="AP64" s="85"/>
      <c r="AQ64" s="34"/>
      <c r="AR64" s="34"/>
      <c r="AS64" s="34"/>
      <c r="AT64" s="97"/>
      <c r="AU64" s="96"/>
      <c r="AV64" s="34"/>
    </row>
    <row r="65" spans="1:48" ht="21" customHeight="1" thickBot="1">
      <c r="A65" s="50"/>
      <c r="B65" s="34"/>
      <c r="C65" s="92"/>
      <c r="E65" s="161"/>
      <c r="F65" s="29"/>
      <c r="G65" s="162"/>
      <c r="H65" s="162"/>
      <c r="I65" s="162"/>
      <c r="J65" s="29" t="s">
        <v>79</v>
      </c>
      <c r="K65" s="163">
        <v>5759.1999999999989</v>
      </c>
      <c r="L65" s="164">
        <v>115.5</v>
      </c>
      <c r="O65" s="117">
        <v>6540</v>
      </c>
      <c r="P65" s="114">
        <v>0</v>
      </c>
      <c r="Q65" s="115">
        <v>0</v>
      </c>
      <c r="R65" s="116">
        <v>0</v>
      </c>
      <c r="U65" s="34"/>
      <c r="V65" s="59"/>
      <c r="W65" s="59"/>
      <c r="X65" s="59"/>
      <c r="Y65" s="59"/>
      <c r="Z65" s="59"/>
      <c r="AA65" s="59"/>
      <c r="AB65" s="59"/>
      <c r="AC65" s="92"/>
      <c r="AD65" s="59"/>
      <c r="AE65" s="59"/>
      <c r="AF65" s="59"/>
      <c r="AG65" s="59"/>
      <c r="AH65" s="59"/>
      <c r="AI65" s="59"/>
      <c r="AJ65" s="34"/>
      <c r="AK65" s="34"/>
      <c r="AL65" s="34"/>
      <c r="AM65" s="34"/>
      <c r="AN65" s="34"/>
      <c r="AO65" s="34"/>
      <c r="AP65" s="34"/>
      <c r="AQ65" s="34"/>
      <c r="AR65" s="34"/>
      <c r="AS65" s="165"/>
      <c r="AT65" s="97"/>
      <c r="AU65" s="157"/>
      <c r="AV65" s="34"/>
    </row>
    <row r="66" spans="1:48" ht="21" customHeight="1" thickBot="1">
      <c r="A66" s="34"/>
      <c r="B66" s="98"/>
      <c r="C66" s="34"/>
      <c r="O66" s="117">
        <v>7030</v>
      </c>
      <c r="P66" s="114">
        <v>0</v>
      </c>
      <c r="Q66" s="115">
        <v>0</v>
      </c>
      <c r="R66" s="116">
        <v>0</v>
      </c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85"/>
      <c r="AO66" s="50"/>
      <c r="AP66" s="85"/>
      <c r="AQ66" s="85"/>
      <c r="AR66" s="85"/>
      <c r="AS66" s="85"/>
      <c r="AT66" s="97"/>
      <c r="AU66" s="160"/>
      <c r="AV66" s="34"/>
    </row>
    <row r="67" spans="1:48" ht="21" customHeight="1" thickBot="1">
      <c r="A67" s="34"/>
      <c r="B67" s="98"/>
      <c r="C67" s="34"/>
      <c r="O67" s="117">
        <v>8010</v>
      </c>
      <c r="P67" s="114">
        <v>0</v>
      </c>
      <c r="Q67" s="115">
        <v>0</v>
      </c>
      <c r="R67" s="116">
        <v>0</v>
      </c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161"/>
      <c r="AO67" s="50"/>
      <c r="AP67" s="162"/>
      <c r="AQ67" s="162"/>
      <c r="AR67" s="162"/>
      <c r="AS67" s="50"/>
      <c r="AT67" s="97"/>
      <c r="AU67" s="157"/>
      <c r="AV67" s="34"/>
    </row>
    <row r="68" spans="1:48" ht="21" customHeight="1" thickBot="1">
      <c r="A68" s="34"/>
      <c r="B68" s="98"/>
      <c r="C68" s="34"/>
      <c r="O68" s="117">
        <v>8120</v>
      </c>
      <c r="P68" s="114">
        <v>0</v>
      </c>
      <c r="Q68" s="115">
        <v>0</v>
      </c>
      <c r="R68" s="116">
        <v>0</v>
      </c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</row>
    <row r="69" spans="1:48" ht="21" customHeight="1" thickBot="1">
      <c r="A69" s="34"/>
      <c r="B69" s="98"/>
      <c r="C69" s="34"/>
      <c r="E69" s="34"/>
      <c r="F69" s="34"/>
      <c r="G69" s="98"/>
      <c r="H69" s="98"/>
      <c r="I69" s="98"/>
      <c r="J69" s="98"/>
      <c r="K69" s="34"/>
      <c r="L69" s="34"/>
      <c r="M69" s="106"/>
      <c r="N69" s="106"/>
      <c r="O69" s="117">
        <v>8140</v>
      </c>
      <c r="P69" s="114">
        <v>8</v>
      </c>
      <c r="Q69" s="115">
        <v>100.1</v>
      </c>
      <c r="R69" s="116">
        <v>2</v>
      </c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</row>
    <row r="70" spans="1:48" ht="21" customHeight="1" thickBot="1">
      <c r="A70" s="34"/>
      <c r="B70" s="98"/>
      <c r="C70" s="34"/>
      <c r="E70" s="34"/>
      <c r="F70" s="34"/>
      <c r="G70" s="98"/>
      <c r="H70" s="98"/>
      <c r="I70" s="98"/>
      <c r="J70" s="98"/>
      <c r="K70" s="34"/>
      <c r="L70" s="34"/>
      <c r="M70" s="106"/>
      <c r="N70" s="106"/>
      <c r="O70" s="117" t="s">
        <v>80</v>
      </c>
      <c r="P70" s="114">
        <v>0</v>
      </c>
      <c r="Q70" s="115">
        <v>0</v>
      </c>
      <c r="R70" s="116">
        <v>0</v>
      </c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</row>
    <row r="71" spans="1:48" ht="21" customHeight="1" thickBot="1">
      <c r="A71" s="34"/>
      <c r="B71" s="34"/>
      <c r="C71" s="34"/>
      <c r="E71" s="34"/>
      <c r="F71" s="34"/>
      <c r="G71" s="34"/>
      <c r="H71" s="34"/>
      <c r="I71" s="34"/>
      <c r="J71" s="34"/>
      <c r="K71" s="34"/>
      <c r="L71" s="34"/>
      <c r="M71" s="106"/>
      <c r="N71" s="106"/>
      <c r="O71" s="117">
        <v>8300</v>
      </c>
      <c r="P71" s="114">
        <v>0</v>
      </c>
      <c r="Q71" s="115">
        <v>0</v>
      </c>
      <c r="R71" s="116">
        <v>0</v>
      </c>
    </row>
    <row r="72" spans="1:48" ht="21" customHeight="1" thickBot="1">
      <c r="A72" s="34"/>
      <c r="B72" s="34"/>
      <c r="C72" s="34"/>
      <c r="E72" s="34"/>
      <c r="F72" s="34"/>
      <c r="G72" s="34"/>
      <c r="H72" s="34"/>
      <c r="I72" s="34"/>
      <c r="J72" s="34"/>
      <c r="K72" s="34"/>
      <c r="L72" s="34"/>
      <c r="M72" s="106"/>
      <c r="N72" s="106"/>
      <c r="O72" s="117">
        <v>8310</v>
      </c>
      <c r="P72" s="114">
        <v>0</v>
      </c>
      <c r="Q72" s="115">
        <v>0</v>
      </c>
      <c r="R72" s="116">
        <v>0</v>
      </c>
    </row>
    <row r="73" spans="1:48" ht="21" customHeight="1" thickBot="1">
      <c r="A73" s="34"/>
      <c r="B73" s="34"/>
      <c r="C73" s="34"/>
      <c r="E73" s="34"/>
      <c r="F73" s="34"/>
      <c r="G73" s="34"/>
      <c r="H73" s="34"/>
      <c r="I73" s="34"/>
      <c r="J73" s="34"/>
      <c r="K73" s="34"/>
      <c r="L73" s="34"/>
      <c r="M73" s="106"/>
      <c r="N73" s="106"/>
      <c r="O73" s="117">
        <v>8610</v>
      </c>
      <c r="P73" s="114">
        <v>0</v>
      </c>
      <c r="Q73" s="115">
        <v>0</v>
      </c>
      <c r="R73" s="116">
        <v>0</v>
      </c>
    </row>
    <row r="74" spans="1:48" ht="21" customHeight="1" thickBot="1">
      <c r="A74" s="34"/>
      <c r="B74" s="34"/>
      <c r="C74" s="34"/>
      <c r="E74" s="34"/>
      <c r="F74" s="34"/>
      <c r="G74" s="34"/>
      <c r="H74" s="34"/>
      <c r="I74" s="34"/>
      <c r="J74" s="34"/>
      <c r="K74" s="34"/>
      <c r="L74" s="34"/>
      <c r="M74" s="106"/>
      <c r="N74" s="106"/>
      <c r="O74" s="117">
        <v>9200</v>
      </c>
      <c r="P74" s="114">
        <v>7</v>
      </c>
      <c r="Q74" s="115">
        <v>85.25</v>
      </c>
      <c r="R74" s="116">
        <v>1.75</v>
      </c>
    </row>
    <row r="75" spans="1:48" ht="21" customHeight="1" thickBot="1">
      <c r="A75" s="34"/>
      <c r="B75" s="34"/>
      <c r="C75" s="34"/>
      <c r="E75" s="34"/>
      <c r="F75" s="34"/>
      <c r="G75" s="34"/>
      <c r="H75" s="34"/>
      <c r="I75" s="34"/>
      <c r="J75" s="34"/>
      <c r="K75" s="34"/>
      <c r="L75" s="34"/>
      <c r="M75" s="106"/>
      <c r="N75" s="106"/>
      <c r="O75" s="117">
        <v>9800</v>
      </c>
      <c r="P75" s="114">
        <v>0</v>
      </c>
      <c r="Q75" s="115">
        <v>0</v>
      </c>
      <c r="R75" s="116">
        <v>0</v>
      </c>
    </row>
    <row r="76" spans="1:48" ht="21" customHeight="1" thickBot="1">
      <c r="A76" s="34"/>
      <c r="B76" s="34"/>
      <c r="C76" s="34"/>
      <c r="E76" s="34"/>
      <c r="F76" s="34"/>
      <c r="G76" s="34"/>
      <c r="H76" s="34"/>
      <c r="I76" s="34"/>
      <c r="J76" s="34"/>
      <c r="K76" s="34"/>
      <c r="L76" s="34"/>
      <c r="M76" s="106"/>
      <c r="N76" s="106"/>
      <c r="O76" s="117">
        <v>9810</v>
      </c>
      <c r="P76" s="114">
        <v>0</v>
      </c>
      <c r="Q76" s="115">
        <v>0</v>
      </c>
      <c r="R76" s="116">
        <v>0</v>
      </c>
    </row>
    <row r="77" spans="1:48" ht="21" customHeight="1" thickBot="1">
      <c r="A77" s="34"/>
      <c r="B77" s="34"/>
      <c r="C77" s="34"/>
      <c r="E77" s="34"/>
      <c r="F77" s="34"/>
      <c r="G77" s="34"/>
      <c r="H77" s="34"/>
      <c r="I77" s="34"/>
      <c r="J77" s="34"/>
      <c r="K77" s="34"/>
      <c r="L77" s="34"/>
      <c r="M77" s="106"/>
      <c r="N77" s="106"/>
      <c r="O77" s="117">
        <v>9820</v>
      </c>
      <c r="P77" s="114">
        <v>0</v>
      </c>
      <c r="Q77" s="115">
        <v>0</v>
      </c>
      <c r="R77" s="116">
        <v>0</v>
      </c>
    </row>
    <row r="78" spans="1:48" ht="21" customHeight="1" thickBot="1">
      <c r="A78" s="34"/>
      <c r="B78" s="34"/>
      <c r="C78" s="34"/>
      <c r="E78" s="34"/>
      <c r="F78" s="34"/>
      <c r="G78" s="34"/>
      <c r="H78" s="34"/>
      <c r="I78" s="34"/>
      <c r="J78" s="34"/>
      <c r="K78" s="34"/>
      <c r="L78" s="34"/>
      <c r="M78" s="106"/>
      <c r="N78" s="106"/>
      <c r="O78" s="117">
        <v>9830</v>
      </c>
      <c r="P78" s="114">
        <v>0</v>
      </c>
      <c r="Q78" s="115">
        <v>0</v>
      </c>
      <c r="R78" s="116">
        <v>0</v>
      </c>
    </row>
    <row r="79" spans="1:48" ht="21" customHeight="1" thickBot="1">
      <c r="A79" s="34"/>
      <c r="B79" s="34"/>
      <c r="C79" s="34"/>
      <c r="E79" s="34"/>
      <c r="F79" s="34"/>
      <c r="G79" s="34"/>
      <c r="H79" s="34"/>
      <c r="I79" s="34"/>
      <c r="J79" s="34"/>
      <c r="K79" s="166"/>
      <c r="L79" s="34"/>
      <c r="M79" s="106"/>
      <c r="N79" s="106"/>
      <c r="O79" s="167">
        <v>9870</v>
      </c>
      <c r="P79" s="168">
        <v>0</v>
      </c>
      <c r="Q79" s="143">
        <v>0</v>
      </c>
      <c r="R79" s="144">
        <v>0</v>
      </c>
    </row>
    <row r="80" spans="1:48" ht="21" customHeight="1" thickBot="1">
      <c r="A80" s="34"/>
      <c r="B80" s="34"/>
      <c r="C80" s="34"/>
      <c r="E80" s="34"/>
      <c r="F80" s="34"/>
      <c r="G80" s="34"/>
      <c r="H80" s="34"/>
      <c r="I80" s="34"/>
      <c r="J80" s="34"/>
      <c r="K80" s="166"/>
      <c r="L80" s="34"/>
      <c r="M80" s="34"/>
      <c r="N80" s="34"/>
      <c r="P80" s="169">
        <v>462</v>
      </c>
      <c r="Q80" s="170">
        <v>5759.2000000000016</v>
      </c>
      <c r="R80" s="170">
        <v>115.5</v>
      </c>
    </row>
    <row r="81" spans="1:214" ht="21" customHeight="1" thickBot="1">
      <c r="A81" s="34"/>
      <c r="B81" s="34"/>
      <c r="C81" s="34"/>
      <c r="E81" s="34"/>
      <c r="F81" s="34"/>
      <c r="G81" s="34"/>
      <c r="H81" s="34"/>
      <c r="I81" s="34"/>
      <c r="J81" s="34"/>
      <c r="K81" s="34"/>
      <c r="L81" s="34"/>
      <c r="M81" s="171"/>
      <c r="N81" s="171"/>
      <c r="P81" s="39" t="s">
        <v>77</v>
      </c>
      <c r="Q81" s="172" t="s">
        <v>81</v>
      </c>
      <c r="R81" s="173" t="s">
        <v>78</v>
      </c>
    </row>
    <row r="82" spans="1:214">
      <c r="A82" s="34"/>
      <c r="B82" s="34"/>
      <c r="C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P82" s="34"/>
      <c r="Q82" s="174"/>
      <c r="R82" s="174"/>
    </row>
    <row r="83" spans="1:214">
      <c r="L83" s="34"/>
    </row>
    <row r="85" spans="1:214" ht="60">
      <c r="B85" s="34"/>
      <c r="C85" s="34"/>
      <c r="D85" s="34"/>
      <c r="E85" s="175"/>
      <c r="F85" s="175"/>
      <c r="G85" s="175"/>
      <c r="H85" s="175"/>
      <c r="I85" s="175"/>
      <c r="J85" s="175"/>
      <c r="K85" s="176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</row>
    <row r="86" spans="1:214" ht="59.25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177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</row>
    <row r="87" spans="1:214" ht="20.25">
      <c r="B87" s="178"/>
      <c r="C87" s="178"/>
      <c r="D87" s="34"/>
      <c r="E87" s="34"/>
      <c r="F87" s="34"/>
      <c r="G87" s="34"/>
      <c r="H87" s="34"/>
      <c r="I87" s="34"/>
      <c r="J87" s="34"/>
      <c r="K87" s="34"/>
      <c r="L87" s="34"/>
      <c r="M87" s="178"/>
      <c r="N87" s="178"/>
      <c r="O87" s="178"/>
      <c r="P87" s="87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  <c r="HB87" s="34"/>
      <c r="HC87" s="34"/>
      <c r="HD87" s="34"/>
      <c r="HE87" s="34"/>
      <c r="HF87" s="34"/>
    </row>
    <row r="88" spans="1:214" ht="15">
      <c r="B88" s="178"/>
      <c r="C88" s="178"/>
      <c r="D88" s="34"/>
      <c r="E88" s="34"/>
      <c r="F88" s="34"/>
      <c r="G88" s="34"/>
      <c r="H88" s="34"/>
      <c r="I88" s="34"/>
      <c r="J88" s="34"/>
      <c r="K88" s="34"/>
      <c r="L88" s="34"/>
      <c r="M88" s="178"/>
      <c r="N88" s="178"/>
      <c r="O88" s="178"/>
      <c r="P88" s="178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</row>
    <row r="89" spans="1:214" ht="15">
      <c r="B89" s="178"/>
      <c r="C89" s="178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  <c r="HC89" s="34"/>
      <c r="HD89" s="34"/>
      <c r="HE89" s="34"/>
      <c r="HF89" s="34"/>
    </row>
    <row r="90" spans="1:214" ht="15">
      <c r="B90" s="178"/>
      <c r="C90" s="178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</row>
    <row r="91" spans="1:214" ht="15">
      <c r="B91" s="178"/>
      <c r="C91" s="178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  <c r="HC91" s="34"/>
      <c r="HD91" s="34"/>
      <c r="HE91" s="34"/>
      <c r="HF91" s="34"/>
    </row>
    <row r="92" spans="1:214" ht="15">
      <c r="B92" s="178"/>
      <c r="C92" s="178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</row>
    <row r="93" spans="1:214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  <c r="HB93" s="34"/>
      <c r="HC93" s="34"/>
      <c r="HD93" s="34"/>
      <c r="HE93" s="34"/>
      <c r="HF93" s="34"/>
    </row>
    <row r="94" spans="1:214"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  <c r="HC94" s="34"/>
      <c r="HD94" s="34"/>
      <c r="HE94" s="34"/>
      <c r="HF94" s="34"/>
    </row>
    <row r="95" spans="1:214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</row>
    <row r="96" spans="1:214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</row>
    <row r="97" spans="1:3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spans="1:3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3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spans="1:3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spans="1:3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spans="1:3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spans="1:3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spans="1:3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spans="1:3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spans="1:3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spans="1:3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spans="1:3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spans="1:3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spans="1:3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spans="1:3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spans="1:3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spans="1:46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spans="1:46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spans="1:46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spans="1:4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spans="1:46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</row>
    <row r="118" spans="1:46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</row>
    <row r="119" spans="1:46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</row>
    <row r="120" spans="1:46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</row>
    <row r="121" spans="1:46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</row>
    <row r="122" spans="1:46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</row>
    <row r="123" spans="1:46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</row>
    <row r="124" spans="1:46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</row>
    <row r="125" spans="1:46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</row>
    <row r="126" spans="1:4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</row>
    <row r="127" spans="1:46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</row>
    <row r="128" spans="1:46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</row>
    <row r="129" spans="1:46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</row>
    <row r="130" spans="1:46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</row>
    <row r="131" spans="1:46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</row>
    <row r="132" spans="1:46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</row>
    <row r="133" spans="1:46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</row>
    <row r="134" spans="1:46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</row>
    <row r="135" spans="1:46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</row>
    <row r="136" spans="1:4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</row>
    <row r="137" spans="1:46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</row>
    <row r="138" spans="1:46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</row>
    <row r="139" spans="1:46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</row>
    <row r="140" spans="1:46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</row>
    <row r="141" spans="1:46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</row>
    <row r="142" spans="1:46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</row>
    <row r="143" spans="1:46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</row>
    <row r="144" spans="1:46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</row>
    <row r="145" spans="1:46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</row>
    <row r="146" spans="1: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</row>
    <row r="147" spans="1:46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</row>
    <row r="148" spans="1:46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</row>
    <row r="149" spans="1:46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</row>
    <row r="150" spans="1:46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</row>
    <row r="151" spans="1:46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</row>
    <row r="152" spans="1:46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</row>
    <row r="153" spans="1:46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</row>
    <row r="154" spans="1:46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</row>
    <row r="157" spans="1:46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</row>
    <row r="158" spans="1:46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</row>
    <row r="159" spans="1:46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</row>
    <row r="160" spans="1:46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</row>
    <row r="161" spans="1:46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</row>
    <row r="162" spans="1:46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</row>
    <row r="163" spans="1:46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</row>
    <row r="164" spans="1:46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</row>
    <row r="165" spans="1:46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</row>
    <row r="166" spans="1:4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</row>
    <row r="167" spans="1:46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</row>
    <row r="168" spans="1:46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</row>
    <row r="169" spans="1:46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</row>
    <row r="170" spans="1:46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</row>
    <row r="171" spans="1:46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</row>
    <row r="172" spans="1:46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</row>
    <row r="173" spans="1:46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</row>
    <row r="174" spans="1:46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</row>
    <row r="175" spans="1:46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</row>
    <row r="176" spans="1:4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</row>
    <row r="177" spans="1:46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</row>
    <row r="178" spans="1:46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</row>
    <row r="179" spans="1:46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</row>
    <row r="180" spans="1:46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</row>
    <row r="181" spans="1:46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</row>
    <row r="182" spans="1:46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</row>
    <row r="183" spans="1:46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</row>
    <row r="184" spans="1:46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</row>
    <row r="185" spans="1:46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</row>
    <row r="186" spans="1:4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</row>
    <row r="187" spans="1:46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</row>
    <row r="188" spans="1:46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</row>
    <row r="189" spans="1:46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</row>
    <row r="190" spans="1:46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</row>
    <row r="191" spans="1:46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</row>
    <row r="192" spans="1:46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</row>
    <row r="193" spans="1:46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</row>
    <row r="194" spans="1:46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</row>
    <row r="195" spans="1:46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</row>
    <row r="196" spans="1:4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</row>
    <row r="197" spans="1:46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</row>
    <row r="198" spans="1:46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</row>
    <row r="199" spans="1:46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</row>
    <row r="200" spans="1:46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</row>
    <row r="201" spans="1:46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</row>
    <row r="202" spans="1:46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</row>
    <row r="203" spans="1:46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</row>
    <row r="204" spans="1:46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</row>
    <row r="205" spans="1:46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</row>
    <row r="206" spans="1:4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</row>
    <row r="207" spans="1:46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</row>
    <row r="208" spans="1:46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</row>
    <row r="209" spans="1:46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</row>
    <row r="210" spans="1:46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</row>
    <row r="211" spans="1:46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</row>
    <row r="212" spans="1:46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</row>
    <row r="213" spans="1:46">
      <c r="L213" s="34"/>
    </row>
  </sheetData>
  <hyperlinks>
    <hyperlink ref="B10" r:id="rId1" xr:uid="{92BF482D-2D7F-4879-99B0-E78134BFD600}"/>
  </hyperlinks>
  <pageMargins left="7.0000000000000007E-2" right="0.5" top="0.27" bottom="0.32" header="0.5" footer="0.25"/>
  <pageSetup scale="65" orientation="landscape" horizontalDpi="4294967293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Hansen</dc:creator>
  <cp:keywords/>
  <dc:description/>
  <cp:lastModifiedBy>Jason Hansen</cp:lastModifiedBy>
  <cp:revision/>
  <dcterms:created xsi:type="dcterms:W3CDTF">2026-04-06T04:39:51Z</dcterms:created>
  <dcterms:modified xsi:type="dcterms:W3CDTF">2026-04-06T05:01:05Z</dcterms:modified>
  <cp:category/>
  <cp:contentStatus/>
</cp:coreProperties>
</file>