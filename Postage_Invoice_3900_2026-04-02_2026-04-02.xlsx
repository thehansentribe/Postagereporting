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jasonhansen/Documents/Postagereporting/"/>
    </mc:Choice>
  </mc:AlternateContent>
  <xr:revisionPtr revIDLastSave="0" documentId="8_{E09143B3-4ACE-9048-9974-DBFD971604ED}" xr6:coauthVersionLast="47" xr6:coauthVersionMax="47" xr10:uidLastSave="{00000000-0000-0000-0000-000000000000}"/>
  <bookViews>
    <workbookView xWindow="0" yWindow="500" windowWidth="28800" windowHeight="16680" xr2:uid="{00000000-000D-0000-FFFF-FFFF00000000}"/>
  </bookViews>
  <sheets>
    <sheet name="Apr 2 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1" i="1" l="1"/>
  <c r="D51" i="1"/>
  <c r="C51" i="1"/>
  <c r="J33" i="1"/>
  <c r="H34" i="1" s="1"/>
  <c r="H33" i="1"/>
  <c r="K32" i="1"/>
  <c r="L32" i="1" s="1"/>
  <c r="L31" i="1"/>
  <c r="K31" i="1"/>
  <c r="K30" i="1"/>
  <c r="L30" i="1" s="1"/>
  <c r="K29" i="1"/>
  <c r="L29" i="1" s="1"/>
  <c r="K28" i="1"/>
  <c r="L28" i="1" s="1"/>
  <c r="K27" i="1"/>
  <c r="L27" i="1" s="1"/>
  <c r="K26" i="1"/>
  <c r="L26" i="1" s="1"/>
  <c r="K25" i="1"/>
  <c r="L25" i="1" s="1"/>
  <c r="L24" i="1"/>
  <c r="K24" i="1"/>
  <c r="K23" i="1"/>
  <c r="L23" i="1" s="1"/>
  <c r="K22" i="1"/>
  <c r="L22" i="1" s="1"/>
  <c r="K21" i="1"/>
  <c r="L21" i="1" s="1"/>
  <c r="K20" i="1"/>
  <c r="L20" i="1" s="1"/>
  <c r="K19" i="1"/>
  <c r="L19" i="1" s="1"/>
  <c r="K18" i="1"/>
  <c r="L18" i="1" s="1"/>
  <c r="L17" i="1"/>
  <c r="K17" i="1"/>
  <c r="K16" i="1"/>
  <c r="L16" i="1" s="1"/>
  <c r="M3" i="1"/>
  <c r="L34" i="1" l="1"/>
  <c r="K34" i="1"/>
  <c r="J13" i="1" s="1"/>
  <c r="L13" i="1" s="1"/>
</calcChain>
</file>

<file path=xl/sharedStrings.xml><?xml version="1.0" encoding="utf-8"?>
<sst xmlns="http://schemas.openxmlformats.org/spreadsheetml/2006/main" count="63" uniqueCount="55">
  <si>
    <t xml:space="preserve">INVOICE # </t>
  </si>
  <si>
    <t>Week ending</t>
  </si>
  <si>
    <t xml:space="preserve">Bill to: </t>
  </si>
  <si>
    <t>Security Benefit/Zinnia -EFD</t>
  </si>
  <si>
    <t>Project Date:</t>
  </si>
  <si>
    <t>Attn:</t>
  </si>
  <si>
    <t>Customer ID#</t>
  </si>
  <si>
    <t xml:space="preserve">            3900</t>
  </si>
  <si>
    <t>Phone #</t>
  </si>
  <si>
    <t>Fax#</t>
  </si>
  <si>
    <t>email:</t>
  </si>
  <si>
    <t>Account Summary for Security Benefit/Zinnia -EFD</t>
  </si>
  <si>
    <t>Previous Acct. Balance</t>
  </si>
  <si>
    <t xml:space="preserve">Funds  </t>
  </si>
  <si>
    <t>Deposit</t>
  </si>
  <si>
    <t xml:space="preserve"> Used</t>
  </si>
  <si>
    <t>New Balance</t>
  </si>
  <si>
    <t>$</t>
  </si>
  <si>
    <t xml:space="preserve">2820 Roe Lane Bldg U </t>
  </si>
  <si>
    <t>Kansas City, KS 66103</t>
  </si>
  <si>
    <t>Weight</t>
  </si>
  <si>
    <t>1st Class</t>
  </si>
  <si>
    <t>EFD 1st Class</t>
  </si>
  <si>
    <t>Total #'s</t>
  </si>
  <si>
    <t>IMB rejects</t>
  </si>
  <si>
    <t>Costs</t>
  </si>
  <si>
    <t>Savings</t>
  </si>
  <si>
    <t>1 oz</t>
  </si>
  <si>
    <t>phone</t>
  </si>
  <si>
    <t>913-671-0011</t>
  </si>
  <si>
    <t>2 oz</t>
  </si>
  <si>
    <t xml:space="preserve">fax </t>
  </si>
  <si>
    <t>913-403-9919</t>
  </si>
  <si>
    <t>3 oz</t>
  </si>
  <si>
    <t xml:space="preserve">email </t>
  </si>
  <si>
    <t>efdmailing@aol.com</t>
  </si>
  <si>
    <t>4 oz</t>
  </si>
  <si>
    <t>5 oz</t>
  </si>
  <si>
    <t>6 oz</t>
  </si>
  <si>
    <t>7 oz</t>
  </si>
  <si>
    <t>8 oz</t>
  </si>
  <si>
    <t>9 oz</t>
  </si>
  <si>
    <t>10 oz</t>
  </si>
  <si>
    <t>11 oz</t>
  </si>
  <si>
    <t>12 oz</t>
  </si>
  <si>
    <t>13 oz</t>
  </si>
  <si>
    <t>Foreign</t>
  </si>
  <si>
    <t>Total Savings</t>
  </si>
  <si>
    <t>Total Pieces</t>
  </si>
  <si>
    <t>Total Cost:</t>
  </si>
  <si>
    <t xml:space="preserve">Cost Centers </t>
  </si>
  <si>
    <t xml:space="preserve"># Pieces </t>
  </si>
  <si>
    <t xml:space="preserve">Charges </t>
  </si>
  <si>
    <t xml:space="preserve">Savings </t>
  </si>
  <si>
    <t xml:space="preserve">Total Cost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</si>
</sst>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mm/dd/yyyy"/>
    <numFmt numFmtId="166" formatCode="\$#,##0.00"/>
    <numFmt numFmtId="167" formatCode="#,##0.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165" fontId="2" fillId="0" borderId="0" xfId="0" applyNumberFormat="1" applyFont="1"/>
    <xf numFmtId="166" fontId="1" fillId="0" borderId="0" xfId="0" applyNumberFormat="1" applyFont="1"/>
    <xf numFmtId="3" fontId="1" fillId="0" borderId="0" xfId="0" applyNumberFormat="1" applyFont="1"/>
    <xf numFmtId="4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"/>
  <sheetViews>
    <sheetView tabSelected="1" topLeftCell="A24" workbookViewId="0">
      <selection activeCell="E52" sqref="E52"/>
    </sheetView>
  </sheetViews>
  <sheetFormatPr baseColWidth="10" defaultColWidth="8.83203125" defaultRowHeight="15" x14ac:dyDescent="0.2"/>
  <cols>
    <col min="1" max="2" width="12" customWidth="1"/>
    <col min="3" max="3" width="30" customWidth="1"/>
    <col min="4" max="4" width="10" customWidth="1"/>
    <col min="5" max="5" width="12" customWidth="1"/>
    <col min="6" max="6" width="10" customWidth="1"/>
    <col min="7" max="7" width="12" customWidth="1"/>
    <col min="8" max="8" width="14" customWidth="1"/>
    <col min="9" max="9" width="10" customWidth="1"/>
    <col min="10" max="10" width="13" customWidth="1"/>
    <col min="11" max="11" width="10" customWidth="1"/>
    <col min="12" max="12" width="12" customWidth="1"/>
    <col min="13" max="13" width="14" customWidth="1"/>
  </cols>
  <sheetData>
    <row r="1" spans="1:13" x14ac:dyDescent="0.2">
      <c r="A1" s="1" t="s">
        <v>0</v>
      </c>
      <c r="C1" s="1">
        <v>1</v>
      </c>
    </row>
    <row r="2" spans="1:13" x14ac:dyDescent="0.2">
      <c r="M2" s="1" t="s">
        <v>1</v>
      </c>
    </row>
    <row r="3" spans="1:13" x14ac:dyDescent="0.2">
      <c r="A3" s="1" t="s">
        <v>2</v>
      </c>
      <c r="C3" s="1" t="s">
        <v>3</v>
      </c>
      <c r="L3" s="1" t="s">
        <v>4</v>
      </c>
      <c r="M3" s="1">
        <f>E14</f>
        <v>46114</v>
      </c>
    </row>
    <row r="4" spans="1:13" x14ac:dyDescent="0.2">
      <c r="A4" s="1" t="s">
        <v>5</v>
      </c>
      <c r="K4" s="1" t="s">
        <v>6</v>
      </c>
      <c r="L4" s="1" t="s">
        <v>7</v>
      </c>
    </row>
    <row r="8" spans="1:13" x14ac:dyDescent="0.2">
      <c r="A8" s="2" t="s">
        <v>8</v>
      </c>
    </row>
    <row r="9" spans="1:13" x14ac:dyDescent="0.2">
      <c r="A9" s="2" t="s">
        <v>9</v>
      </c>
    </row>
    <row r="10" spans="1:13" x14ac:dyDescent="0.2">
      <c r="A10" s="2" t="s">
        <v>10</v>
      </c>
    </row>
    <row r="11" spans="1:13" x14ac:dyDescent="0.2">
      <c r="H11" s="1" t="s">
        <v>11</v>
      </c>
    </row>
    <row r="12" spans="1:13" x14ac:dyDescent="0.2">
      <c r="C12" s="1" t="s">
        <v>12</v>
      </c>
      <c r="F12" s="1" t="s">
        <v>13</v>
      </c>
      <c r="G12" s="1" t="s">
        <v>14</v>
      </c>
      <c r="I12" s="1" t="s">
        <v>13</v>
      </c>
      <c r="J12" s="1" t="s">
        <v>15</v>
      </c>
      <c r="L12" s="1" t="s">
        <v>16</v>
      </c>
    </row>
    <row r="13" spans="1:13" x14ac:dyDescent="0.2">
      <c r="D13" s="1">
        <v>0</v>
      </c>
      <c r="F13" s="1">
        <v>0</v>
      </c>
      <c r="I13" s="2" t="s">
        <v>17</v>
      </c>
      <c r="J13" s="1">
        <f>K34</f>
        <v>1616.1499999999999</v>
      </c>
      <c r="L13" s="1">
        <f>(D13+F13)-J13</f>
        <v>-1616.1499999999999</v>
      </c>
    </row>
    <row r="14" spans="1:13" x14ac:dyDescent="0.2">
      <c r="A14" s="2" t="s">
        <v>18</v>
      </c>
      <c r="E14" s="3">
        <v>46114</v>
      </c>
    </row>
    <row r="15" spans="1:13" x14ac:dyDescent="0.2">
      <c r="A15" s="2" t="s">
        <v>19</v>
      </c>
      <c r="E15" s="1" t="s">
        <v>20</v>
      </c>
      <c r="F15" s="1" t="s">
        <v>21</v>
      </c>
      <c r="G15" s="1" t="s">
        <v>22</v>
      </c>
      <c r="H15" s="1" t="s">
        <v>23</v>
      </c>
      <c r="I15" s="1" t="s">
        <v>24</v>
      </c>
      <c r="J15" s="1" t="s">
        <v>23</v>
      </c>
      <c r="K15" s="1" t="s">
        <v>25</v>
      </c>
      <c r="L15" s="1" t="s">
        <v>26</v>
      </c>
    </row>
    <row r="16" spans="1:13" x14ac:dyDescent="0.2">
      <c r="E16" s="1" t="s">
        <v>27</v>
      </c>
      <c r="F16" s="4">
        <v>1.63</v>
      </c>
      <c r="G16" s="4">
        <v>1.53</v>
      </c>
      <c r="H16" s="5">
        <v>0</v>
      </c>
      <c r="I16" s="4">
        <v>1.63</v>
      </c>
      <c r="J16" s="5">
        <v>0</v>
      </c>
      <c r="K16" s="4">
        <f t="shared" ref="K16:K32" si="0">G16*H16+I16*J16</f>
        <v>0</v>
      </c>
      <c r="L16" s="4">
        <f t="shared" ref="L16:L32" si="1">F16*H16+F16*J16-K16</f>
        <v>0</v>
      </c>
    </row>
    <row r="17" spans="1:12" x14ac:dyDescent="0.2">
      <c r="A17" s="2" t="s">
        <v>28</v>
      </c>
      <c r="B17" s="2" t="s">
        <v>29</v>
      </c>
      <c r="E17" s="1" t="s">
        <v>30</v>
      </c>
      <c r="F17" s="4">
        <v>1.9</v>
      </c>
      <c r="G17" s="4">
        <v>1.8</v>
      </c>
      <c r="H17" s="5">
        <v>15</v>
      </c>
      <c r="I17" s="4">
        <v>1.9</v>
      </c>
      <c r="J17" s="5">
        <v>0</v>
      </c>
      <c r="K17" s="4">
        <f t="shared" si="0"/>
        <v>27</v>
      </c>
      <c r="L17" s="4">
        <f t="shared" si="1"/>
        <v>1.5</v>
      </c>
    </row>
    <row r="18" spans="1:12" x14ac:dyDescent="0.2">
      <c r="A18" s="2" t="s">
        <v>31</v>
      </c>
      <c r="B18" s="2" t="s">
        <v>32</v>
      </c>
      <c r="E18" s="1" t="s">
        <v>33</v>
      </c>
      <c r="F18" s="4">
        <v>2.17</v>
      </c>
      <c r="G18" s="4">
        <v>2.0699999999999998</v>
      </c>
      <c r="H18" s="5">
        <v>747</v>
      </c>
      <c r="I18" s="4">
        <v>2.17</v>
      </c>
      <c r="J18" s="5">
        <v>0</v>
      </c>
      <c r="K18" s="4">
        <f t="shared" si="0"/>
        <v>1546.29</v>
      </c>
      <c r="L18" s="4">
        <f t="shared" si="1"/>
        <v>74.700000000000045</v>
      </c>
    </row>
    <row r="19" spans="1:12" x14ac:dyDescent="0.2">
      <c r="A19" s="2" t="s">
        <v>34</v>
      </c>
      <c r="B19" s="2" t="s">
        <v>35</v>
      </c>
      <c r="E19" s="1" t="s">
        <v>36</v>
      </c>
      <c r="F19" s="4">
        <v>2.44</v>
      </c>
      <c r="G19" s="4">
        <v>2.34</v>
      </c>
      <c r="H19" s="5">
        <v>6</v>
      </c>
      <c r="I19" s="4">
        <v>2.44</v>
      </c>
      <c r="J19" s="5">
        <v>0</v>
      </c>
      <c r="K19" s="4">
        <f t="shared" si="0"/>
        <v>14.04</v>
      </c>
      <c r="L19" s="4">
        <f t="shared" si="1"/>
        <v>0.60000000000000142</v>
      </c>
    </row>
    <row r="20" spans="1:12" x14ac:dyDescent="0.2">
      <c r="E20" s="1" t="s">
        <v>37</v>
      </c>
      <c r="F20" s="4">
        <v>2.72</v>
      </c>
      <c r="G20" s="4">
        <v>2.62</v>
      </c>
      <c r="H20" s="5">
        <v>11</v>
      </c>
      <c r="I20" s="4">
        <v>2.72</v>
      </c>
      <c r="J20" s="5">
        <v>0</v>
      </c>
      <c r="K20" s="4">
        <f t="shared" si="0"/>
        <v>28.82</v>
      </c>
      <c r="L20" s="4">
        <f t="shared" si="1"/>
        <v>1.1000000000000014</v>
      </c>
    </row>
    <row r="21" spans="1:12" x14ac:dyDescent="0.2">
      <c r="E21" s="1" t="s">
        <v>38</v>
      </c>
      <c r="F21" s="4">
        <v>3</v>
      </c>
      <c r="G21" s="4">
        <v>2.9</v>
      </c>
      <c r="H21" s="5">
        <v>0</v>
      </c>
      <c r="I21" s="4">
        <v>3</v>
      </c>
      <c r="J21" s="5">
        <v>0</v>
      </c>
      <c r="K21" s="4">
        <f t="shared" si="0"/>
        <v>0</v>
      </c>
      <c r="L21" s="4">
        <f t="shared" si="1"/>
        <v>0</v>
      </c>
    </row>
    <row r="22" spans="1:12" x14ac:dyDescent="0.2">
      <c r="E22" s="1" t="s">
        <v>39</v>
      </c>
      <c r="F22" s="4">
        <v>3.28</v>
      </c>
      <c r="G22" s="4">
        <v>3.18</v>
      </c>
      <c r="H22" s="5">
        <v>0</v>
      </c>
      <c r="I22" s="4">
        <v>3.28</v>
      </c>
      <c r="J22" s="5">
        <v>0</v>
      </c>
      <c r="K22" s="4">
        <f t="shared" si="0"/>
        <v>0</v>
      </c>
      <c r="L22" s="4">
        <f t="shared" si="1"/>
        <v>0</v>
      </c>
    </row>
    <row r="23" spans="1:12" x14ac:dyDescent="0.2">
      <c r="E23" s="1" t="s">
        <v>40</v>
      </c>
      <c r="F23" s="4">
        <v>3.56</v>
      </c>
      <c r="G23" s="4">
        <v>3.46</v>
      </c>
      <c r="H23" s="5">
        <v>0</v>
      </c>
      <c r="I23" s="4">
        <v>3.56</v>
      </c>
      <c r="J23" s="5">
        <v>0</v>
      </c>
      <c r="K23" s="4">
        <f t="shared" si="0"/>
        <v>0</v>
      </c>
      <c r="L23" s="4">
        <f t="shared" si="1"/>
        <v>0</v>
      </c>
    </row>
    <row r="24" spans="1:12" x14ac:dyDescent="0.2">
      <c r="E24" s="1" t="s">
        <v>41</v>
      </c>
      <c r="F24" s="4">
        <v>3.84</v>
      </c>
      <c r="G24" s="4">
        <v>3.74</v>
      </c>
      <c r="H24" s="5">
        <v>0</v>
      </c>
      <c r="I24" s="4">
        <v>3.84</v>
      </c>
      <c r="J24" s="5">
        <v>0</v>
      </c>
      <c r="K24" s="4">
        <f t="shared" si="0"/>
        <v>0</v>
      </c>
      <c r="L24" s="4">
        <f t="shared" si="1"/>
        <v>0</v>
      </c>
    </row>
    <row r="25" spans="1:12" x14ac:dyDescent="0.2">
      <c r="E25" s="1" t="s">
        <v>42</v>
      </c>
      <c r="F25" s="4">
        <v>4.1399999999999997</v>
      </c>
      <c r="G25" s="4">
        <v>4.04</v>
      </c>
      <c r="H25" s="5">
        <v>0</v>
      </c>
      <c r="I25" s="4">
        <v>4.1399999999999997</v>
      </c>
      <c r="J25" s="5">
        <v>0</v>
      </c>
      <c r="K25" s="4">
        <f t="shared" si="0"/>
        <v>0</v>
      </c>
      <c r="L25" s="4">
        <f t="shared" si="1"/>
        <v>0</v>
      </c>
    </row>
    <row r="26" spans="1:12" x14ac:dyDescent="0.2">
      <c r="E26" s="1" t="s">
        <v>43</v>
      </c>
      <c r="F26" s="4">
        <v>4.4400000000000004</v>
      </c>
      <c r="G26" s="4">
        <v>4.34</v>
      </c>
      <c r="H26" s="5">
        <v>0</v>
      </c>
      <c r="I26" s="4">
        <v>4.4400000000000004</v>
      </c>
      <c r="J26" s="5">
        <v>0</v>
      </c>
      <c r="K26" s="4">
        <f t="shared" si="0"/>
        <v>0</v>
      </c>
      <c r="L26" s="4">
        <f t="shared" si="1"/>
        <v>0</v>
      </c>
    </row>
    <row r="27" spans="1:12" x14ac:dyDescent="0.2">
      <c r="E27" s="1" t="s">
        <v>44</v>
      </c>
      <c r="F27" s="4">
        <v>4.74</v>
      </c>
      <c r="G27" s="4">
        <v>4.6399999999999997</v>
      </c>
      <c r="H27" s="5">
        <v>0</v>
      </c>
      <c r="I27" s="4">
        <v>4.74</v>
      </c>
      <c r="J27" s="5">
        <v>0</v>
      </c>
      <c r="K27" s="4">
        <f t="shared" si="0"/>
        <v>0</v>
      </c>
      <c r="L27" s="4">
        <f t="shared" si="1"/>
        <v>0</v>
      </c>
    </row>
    <row r="28" spans="1:12" x14ac:dyDescent="0.2">
      <c r="E28" s="1" t="s">
        <v>45</v>
      </c>
      <c r="F28" s="4">
        <v>5.04</v>
      </c>
      <c r="G28" s="4">
        <v>4.9400000000000004</v>
      </c>
      <c r="H28" s="5">
        <v>0</v>
      </c>
      <c r="I28" s="4">
        <v>5.04</v>
      </c>
      <c r="J28" s="5">
        <v>0</v>
      </c>
      <c r="K28" s="4">
        <f t="shared" si="0"/>
        <v>0</v>
      </c>
      <c r="L28" s="4">
        <f t="shared" si="1"/>
        <v>0</v>
      </c>
    </row>
    <row r="29" spans="1:12" x14ac:dyDescent="0.2">
      <c r="K29" s="1">
        <f t="shared" si="0"/>
        <v>0</v>
      </c>
      <c r="L29" s="1">
        <f t="shared" si="1"/>
        <v>0</v>
      </c>
    </row>
    <row r="30" spans="1:12" x14ac:dyDescent="0.2">
      <c r="K30" s="1">
        <f t="shared" si="0"/>
        <v>0</v>
      </c>
      <c r="L30" s="1">
        <f t="shared" si="1"/>
        <v>0</v>
      </c>
    </row>
    <row r="31" spans="1:12" x14ac:dyDescent="0.2">
      <c r="K31" s="1">
        <f t="shared" si="0"/>
        <v>0</v>
      </c>
      <c r="L31" s="1">
        <f t="shared" si="1"/>
        <v>0</v>
      </c>
    </row>
    <row r="32" spans="1:12" x14ac:dyDescent="0.2">
      <c r="E32" s="1" t="s">
        <v>46</v>
      </c>
      <c r="F32" s="4">
        <v>10.1</v>
      </c>
      <c r="G32" s="4">
        <v>10</v>
      </c>
      <c r="H32" s="1">
        <v>0</v>
      </c>
      <c r="I32" s="4">
        <v>10.1</v>
      </c>
      <c r="J32" s="1">
        <v>0</v>
      </c>
      <c r="K32" s="4">
        <f t="shared" si="0"/>
        <v>0</v>
      </c>
      <c r="L32" s="4">
        <f t="shared" si="1"/>
        <v>0</v>
      </c>
    </row>
    <row r="33" spans="1:12" x14ac:dyDescent="0.2">
      <c r="H33" s="1">
        <f>SUM(H16:H32)</f>
        <v>779</v>
      </c>
      <c r="J33" s="1">
        <f>SUM(J16:J32)</f>
        <v>0</v>
      </c>
      <c r="L33" s="1" t="s">
        <v>47</v>
      </c>
    </row>
    <row r="34" spans="1:12" x14ac:dyDescent="0.2">
      <c r="G34" s="1" t="s">
        <v>48</v>
      </c>
      <c r="H34" s="1">
        <f>SUM(H33+J33)</f>
        <v>779</v>
      </c>
      <c r="J34" s="1" t="s">
        <v>49</v>
      </c>
      <c r="K34" s="4">
        <f>SUM(K16:K33)</f>
        <v>1616.1499999999999</v>
      </c>
      <c r="L34" s="4">
        <f>SUM(L16:L33)</f>
        <v>77.900000000000034</v>
      </c>
    </row>
    <row r="36" spans="1:12" x14ac:dyDescent="0.2">
      <c r="A36" s="1" t="s">
        <v>50</v>
      </c>
      <c r="B36" s="1" t="s">
        <v>51</v>
      </c>
      <c r="C36" s="1" t="s">
        <v>52</v>
      </c>
      <c r="D36" s="1" t="s">
        <v>53</v>
      </c>
      <c r="F36" s="1" t="s">
        <v>50</v>
      </c>
      <c r="H36" s="1" t="s">
        <v>51</v>
      </c>
      <c r="I36" s="1" t="s">
        <v>52</v>
      </c>
      <c r="J36" s="1" t="s">
        <v>53</v>
      </c>
    </row>
    <row r="37" spans="1:12" x14ac:dyDescent="0.2">
      <c r="A37" s="1">
        <v>2042</v>
      </c>
      <c r="B37" s="1">
        <v>0</v>
      </c>
      <c r="C37" s="4">
        <v>0</v>
      </c>
      <c r="D37" s="4">
        <v>0</v>
      </c>
      <c r="F37" s="1">
        <v>2044</v>
      </c>
      <c r="H37" s="1">
        <v>0</v>
      </c>
      <c r="I37" s="4">
        <v>0</v>
      </c>
      <c r="J37" s="4">
        <v>0</v>
      </c>
    </row>
    <row r="38" spans="1:12" x14ac:dyDescent="0.2">
      <c r="A38" s="1">
        <v>2056</v>
      </c>
      <c r="B38" s="1">
        <v>690</v>
      </c>
      <c r="C38" s="4">
        <v>1059.6199999999999</v>
      </c>
      <c r="D38" s="4">
        <v>69</v>
      </c>
      <c r="F38" s="1">
        <v>2069</v>
      </c>
      <c r="H38" s="1">
        <v>0</v>
      </c>
      <c r="I38" s="4">
        <v>0</v>
      </c>
      <c r="J38" s="4">
        <v>0</v>
      </c>
    </row>
    <row r="39" spans="1:12" x14ac:dyDescent="0.2">
      <c r="A39" s="1">
        <v>2073</v>
      </c>
      <c r="B39" s="1">
        <v>21</v>
      </c>
      <c r="C39" s="4">
        <v>32.53</v>
      </c>
      <c r="D39" s="4">
        <v>2.1</v>
      </c>
      <c r="F39" s="1">
        <v>2074</v>
      </c>
      <c r="H39" s="1">
        <v>74</v>
      </c>
      <c r="I39" s="4">
        <v>112.01</v>
      </c>
      <c r="J39" s="4">
        <v>7.4</v>
      </c>
    </row>
    <row r="40" spans="1:12" x14ac:dyDescent="0.2">
      <c r="A40" s="1">
        <v>2075</v>
      </c>
      <c r="B40" s="1">
        <v>0</v>
      </c>
      <c r="C40" s="4">
        <v>0</v>
      </c>
      <c r="D40" s="4">
        <v>0</v>
      </c>
      <c r="F40" s="1">
        <v>2083</v>
      </c>
      <c r="H40" s="1">
        <v>0</v>
      </c>
      <c r="I40" s="4">
        <v>0</v>
      </c>
      <c r="J40" s="4">
        <v>0</v>
      </c>
    </row>
    <row r="41" spans="1:12" x14ac:dyDescent="0.2">
      <c r="A41" s="1">
        <v>2087</v>
      </c>
      <c r="B41" s="1">
        <v>0</v>
      </c>
      <c r="C41" s="4">
        <v>0</v>
      </c>
      <c r="D41" s="4">
        <v>0</v>
      </c>
      <c r="F41" s="1">
        <v>2092</v>
      </c>
      <c r="H41" s="1">
        <v>4</v>
      </c>
      <c r="I41" s="4">
        <v>7.12</v>
      </c>
      <c r="J41" s="4">
        <v>0.4</v>
      </c>
    </row>
    <row r="42" spans="1:12" x14ac:dyDescent="0.2">
      <c r="A42" s="1">
        <v>2097</v>
      </c>
      <c r="B42" s="1">
        <v>268</v>
      </c>
      <c r="C42" s="4">
        <v>402.82</v>
      </c>
      <c r="D42" s="4">
        <v>26.8</v>
      </c>
      <c r="F42" s="1">
        <v>2098</v>
      </c>
      <c r="H42" s="1">
        <v>412</v>
      </c>
      <c r="I42" s="4">
        <v>625.42999999999995</v>
      </c>
      <c r="J42" s="4">
        <v>41.2</v>
      </c>
    </row>
    <row r="43" spans="1:12" x14ac:dyDescent="0.2">
      <c r="A43" s="1">
        <v>2116</v>
      </c>
      <c r="B43" s="1">
        <v>0</v>
      </c>
      <c r="C43" s="4">
        <v>0</v>
      </c>
      <c r="D43" s="4">
        <v>0</v>
      </c>
      <c r="F43" s="1">
        <v>2122</v>
      </c>
      <c r="H43" s="1">
        <v>0</v>
      </c>
      <c r="I43" s="4">
        <v>0</v>
      </c>
      <c r="J43" s="4">
        <v>0</v>
      </c>
    </row>
    <row r="44" spans="1:12" x14ac:dyDescent="0.2">
      <c r="A44" s="1">
        <v>2129</v>
      </c>
      <c r="B44" s="1">
        <v>0</v>
      </c>
      <c r="C44" s="4">
        <v>0</v>
      </c>
      <c r="D44" s="4">
        <v>0</v>
      </c>
      <c r="F44" s="1">
        <v>2135</v>
      </c>
      <c r="H44" s="1">
        <v>0</v>
      </c>
      <c r="I44" s="4">
        <v>0</v>
      </c>
      <c r="J44" s="4">
        <v>0</v>
      </c>
    </row>
    <row r="45" spans="1:12" x14ac:dyDescent="0.2">
      <c r="B45" s="4"/>
    </row>
    <row r="46" spans="1:12" x14ac:dyDescent="0.2">
      <c r="A46" s="5"/>
      <c r="B46" s="4"/>
    </row>
    <row r="47" spans="1:12" x14ac:dyDescent="0.2">
      <c r="A47" s="5"/>
    </row>
    <row r="48" spans="1:12" x14ac:dyDescent="0.2">
      <c r="D48" s="1"/>
      <c r="F48" s="1"/>
      <c r="G48" s="1"/>
      <c r="H48" s="1"/>
      <c r="I48" s="1"/>
    </row>
    <row r="49" spans="3:9" x14ac:dyDescent="0.2">
      <c r="D49" s="5"/>
      <c r="F49" s="4"/>
      <c r="I49" s="4"/>
    </row>
    <row r="50" spans="3:9" x14ac:dyDescent="0.2">
      <c r="C50" t="s">
        <v>48</v>
      </c>
      <c r="D50" t="s">
        <v>54</v>
      </c>
      <c r="E50" t="s">
        <v>47</v>
      </c>
    </row>
    <row r="51" spans="3:9" x14ac:dyDescent="0.2">
      <c r="C51" s="6">
        <f>SUM(B37:B44)+SUM(H37:H44)</f>
        <v>1469</v>
      </c>
      <c r="D51" s="7">
        <f>SUM(C37:C44)+SUM(I37:I44)</f>
        <v>2239.5299999999997</v>
      </c>
      <c r="E51" s="8">
        <f>SUM(D37:D44)+SUM(J37:J44)</f>
        <v>146.89999999999998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 2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Jason Hansen</cp:lastModifiedBy>
  <dcterms:created xsi:type="dcterms:W3CDTF">2026-04-06T05:07:29Z</dcterms:created>
  <dcterms:modified xsi:type="dcterms:W3CDTF">2026-04-06T05:14:32Z</dcterms:modified>
</cp:coreProperties>
</file>