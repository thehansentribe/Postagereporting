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E3D787F9-97C8-E041-B19D-F5A01B692D9F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Apr 3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1" l="1"/>
  <c r="D143" i="1"/>
  <c r="C143" i="1"/>
  <c r="L34" i="1"/>
  <c r="K13" i="1" s="1"/>
  <c r="M13" i="1" s="1"/>
  <c r="K33" i="1"/>
  <c r="I33" i="1"/>
  <c r="I34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M3" i="1"/>
  <c r="M34" i="1" l="1"/>
</calcChain>
</file>

<file path=xl/sharedStrings.xml><?xml version="1.0" encoding="utf-8"?>
<sst xmlns="http://schemas.openxmlformats.org/spreadsheetml/2006/main" count="171" uniqueCount="168">
  <si>
    <t xml:space="preserve">INVOICE # </t>
  </si>
  <si>
    <t>Week ending</t>
  </si>
  <si>
    <t xml:space="preserve">Bill to: </t>
  </si>
  <si>
    <t>Blue Cross Blue Shield -EFD</t>
  </si>
  <si>
    <t>Project Date: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</si>
  <si>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</si>
  <si>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</si>
  <si>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</si>
  <si>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</si>
  <si>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</si>
  <si>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</si>
  <si>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>Phone #</t>
  </si>
  <si>
    <t>785-291-8681</t>
  </si>
  <si>
    <t>Fax#</t>
  </si>
  <si>
    <t>785-291-8548</t>
  </si>
  <si>
    <t>email:</t>
  </si>
  <si>
    <t>Chris.Torrez@bcbsks.com</t>
  </si>
  <si>
    <t>Account Summary for Blue Cross Blue Shield -EFD</t>
  </si>
  <si>
    <t>Previous Acct. Balance</t>
  </si>
  <si>
    <t xml:space="preserve">Funds  </t>
  </si>
  <si>
    <t>Deposit</t>
  </si>
  <si>
    <t xml:space="preserve"> Used</t>
  </si>
  <si>
    <t>New Balance</t>
  </si>
  <si>
    <t>$</t>
  </si>
  <si>
    <t xml:space="preserve">2820 Roe Lane Bldg U </t>
  </si>
  <si>
    <t>Kansas City, KS 66103</t>
  </si>
  <si>
    <t>Weight</t>
  </si>
  <si>
    <t>1st Class</t>
  </si>
  <si>
    <t>EFD 1st Class</t>
  </si>
  <si>
    <t>Total #'s</t>
  </si>
  <si>
    <t>IMB rejects</t>
  </si>
  <si>
    <t>Costs</t>
  </si>
  <si>
    <t>Savings</t>
  </si>
  <si>
    <t>1 oz</t>
  </si>
  <si>
    <t>phone</t>
  </si>
  <si>
    <t>913-671-0011</t>
  </si>
  <si>
    <t>2 oz</t>
  </si>
  <si>
    <t xml:space="preserve">fax </t>
  </si>
  <si>
    <t>913-403-9919</t>
  </si>
  <si>
    <t>3 oz</t>
  </si>
  <si>
    <t xml:space="preserve">email </t>
  </si>
  <si>
    <t>efdmailing@aol.com</t>
  </si>
  <si>
    <t>4 oz</t>
  </si>
  <si>
    <t>5 oz</t>
  </si>
  <si>
    <t>6 oz</t>
  </si>
  <si>
    <t>7 oz</t>
  </si>
  <si>
    <t>8 oz</t>
  </si>
  <si>
    <t>9 oz</t>
  </si>
  <si>
    <t>10 oz</t>
  </si>
  <si>
    <t>11 oz</t>
  </si>
  <si>
    <t>12 oz</t>
  </si>
  <si>
    <t>13 oz</t>
  </si>
  <si>
    <t>Other</t>
  </si>
  <si>
    <t>Foreign</t>
  </si>
  <si>
    <t>Total Savings</t>
  </si>
  <si>
    <t>Total Pieces</t>
  </si>
  <si>
    <t>Total Cost:</t>
  </si>
  <si>
    <t xml:space="preserve">Cost Centers </t>
  </si>
  <si>
    <t>CUSTOMER NAME</t>
  </si>
  <si>
    <t xml:space="preserve"># Pieces </t>
  </si>
  <si>
    <t xml:space="preserve">Charges </t>
  </si>
  <si>
    <t xml:space="preserve">Savings </t>
  </si>
  <si>
    <t>2020--BCBS</t>
  </si>
  <si>
    <t>2150--BCBS</t>
  </si>
  <si>
    <t>2180--BCBS</t>
  </si>
  <si>
    <t>2240--BCBS</t>
  </si>
  <si>
    <t>2260--BCBS</t>
  </si>
  <si>
    <t>2280--BCBS</t>
  </si>
  <si>
    <t>2340--BCBS</t>
  </si>
  <si>
    <t>2370--BCBS</t>
  </si>
  <si>
    <t>2410--BCBS</t>
  </si>
  <si>
    <t>2480--BCBS</t>
  </si>
  <si>
    <t>2500--BCBS</t>
  </si>
  <si>
    <t>2540--BCBS</t>
  </si>
  <si>
    <t>2560--BCBS</t>
  </si>
  <si>
    <t>2580--BCBS</t>
  </si>
  <si>
    <t>2660--BCBS</t>
  </si>
  <si>
    <t>2670--BCBS</t>
  </si>
  <si>
    <t>2720--BCBS</t>
  </si>
  <si>
    <t>2750--BCBS</t>
  </si>
  <si>
    <t>2760--BCBS</t>
  </si>
  <si>
    <t>2770--BCBS</t>
  </si>
  <si>
    <t>2830--BCBS</t>
  </si>
  <si>
    <t>2840--BCBS</t>
  </si>
  <si>
    <t>2850--BCBS</t>
  </si>
  <si>
    <t>2920--BCBS</t>
  </si>
  <si>
    <t>2930--BCBS</t>
  </si>
  <si>
    <t>2960--BCBS</t>
  </si>
  <si>
    <t>4000--BCBS</t>
  </si>
  <si>
    <t>4070--BCBS</t>
  </si>
  <si>
    <t>4100--BCBS</t>
  </si>
  <si>
    <t>4160--BCBS</t>
  </si>
  <si>
    <t>4230--BCBS</t>
  </si>
  <si>
    <t>4250--BCBS</t>
  </si>
  <si>
    <t>4300--BCBS</t>
  </si>
  <si>
    <t>4370--BCBS</t>
  </si>
  <si>
    <t>4380--BCBS</t>
  </si>
  <si>
    <t>4430--BCBS</t>
  </si>
  <si>
    <t>5040--BCBS</t>
  </si>
  <si>
    <t>5070--BCBS</t>
  </si>
  <si>
    <t>5120--BCBS</t>
  </si>
  <si>
    <t>5160--BCBS</t>
  </si>
  <si>
    <t>5180--BCBS</t>
  </si>
  <si>
    <t>5200--BCBS</t>
  </si>
  <si>
    <t>5290--BCBS</t>
  </si>
  <si>
    <t>5450--BCBS</t>
  </si>
  <si>
    <t>5510--BCBS</t>
  </si>
  <si>
    <t>5600--BCBS</t>
  </si>
  <si>
    <t>5630--BCBS</t>
  </si>
  <si>
    <t>5650--BCBS</t>
  </si>
  <si>
    <t>5700--BCBS</t>
  </si>
  <si>
    <t>6140--BCBS</t>
  </si>
  <si>
    <t>6190--BCBS</t>
  </si>
  <si>
    <t>6350--BCBS</t>
  </si>
  <si>
    <t>6370--BCBS</t>
  </si>
  <si>
    <t>6530--BCBS</t>
  </si>
  <si>
    <t>6570--BCBS</t>
  </si>
  <si>
    <t>6780--BCBS</t>
  </si>
  <si>
    <t>6850--BCBS</t>
  </si>
  <si>
    <t>7010--BCBS</t>
  </si>
  <si>
    <t>7030--BCBS</t>
  </si>
  <si>
    <t>7050--BCBS</t>
  </si>
  <si>
    <t>8000--BCBS</t>
  </si>
  <si>
    <t>8020--BCBS</t>
  </si>
  <si>
    <t>8050--BCBS</t>
  </si>
  <si>
    <t>8060--BCBS</t>
  </si>
  <si>
    <t>8100--BCBS</t>
  </si>
  <si>
    <t>8110--BCBS</t>
  </si>
  <si>
    <t>8130--BCBS</t>
  </si>
  <si>
    <t>8330--BCBS</t>
  </si>
  <si>
    <t>8480--BCBS</t>
  </si>
  <si>
    <t>8510--BCBS</t>
  </si>
  <si>
    <t>8530--BCBS</t>
  </si>
  <si>
    <t>8550--BCBS</t>
  </si>
  <si>
    <t>8570--BCBS</t>
  </si>
  <si>
    <t>8610--BCBS</t>
  </si>
  <si>
    <t>8660--BCBS</t>
  </si>
  <si>
    <t>8770--BCBS</t>
  </si>
  <si>
    <t>8880--BCBS</t>
  </si>
  <si>
    <t>9200--BCBS</t>
  </si>
  <si>
    <t>9800--BCBS</t>
  </si>
  <si>
    <t>9810--BCBS</t>
  </si>
  <si>
    <t>9820--BCBS</t>
  </si>
  <si>
    <t>9830--BCBS</t>
  </si>
  <si>
    <t>9840--BCBS</t>
  </si>
  <si>
    <t>9850--BCBS</t>
  </si>
  <si>
    <t>9860--BCBS</t>
  </si>
  <si>
    <t>9870--BCBS</t>
  </si>
  <si>
    <t>9880--BCBS</t>
  </si>
  <si>
    <t>9890--BCBS</t>
  </si>
  <si>
    <t>A2280--BCBS</t>
  </si>
  <si>
    <t>A2430--BCBS</t>
  </si>
  <si>
    <t>A2810--BCBS</t>
  </si>
  <si>
    <t>A8230--BCBS</t>
  </si>
  <si>
    <t>A9780--BCBS</t>
  </si>
  <si>
    <t>A9800--BCBS</t>
  </si>
  <si>
    <t>A9850--BCBS</t>
  </si>
  <si>
    <t>B2430--BCBS</t>
  </si>
  <si>
    <t>B2810--BCBS</t>
  </si>
  <si>
    <t>B8600--BCBS</t>
  </si>
  <si>
    <t>B9850--BCBS</t>
  </si>
  <si>
    <t>C2430--BCBS</t>
  </si>
  <si>
    <t>C8230--BCBS</t>
  </si>
  <si>
    <t>D2430--BCBS</t>
  </si>
  <si>
    <t>E2430--BCBS</t>
  </si>
  <si>
    <t>F5180--BCBS</t>
  </si>
  <si>
    <t>S5180--BCBS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</si>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</sst>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workbookViewId="0">
      <selection activeCell="C36" sqref="C36:E143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1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F14</f>
        <v>46115</v>
      </c>
    </row>
    <row r="4" spans="1:13" x14ac:dyDescent="0.2">
      <c r="A4" s="1" t="s">
        <v>5</v>
      </c>
      <c r="C4" s="1" t="s">
        <v>6</v>
      </c>
      <c r="L4" s="1" t="s">
        <v>7</v>
      </c>
      <c r="M4" s="1" t="s">
        <v>8</v>
      </c>
    </row>
    <row r="5" spans="1:13" x14ac:dyDescent="0.2">
      <c r="C5" s="2" t="s">
        <v>9</v>
      </c>
    </row>
    <row r="6" spans="1:13" x14ac:dyDescent="0.2">
      <c r="C6" s="2" t="s">
        <v>10</v>
      </c>
    </row>
    <row r="8" spans="1:13" x14ac:dyDescent="0.2">
      <c r="A8" s="2" t="s">
        <v>11</v>
      </c>
      <c r="C8" s="2" t="s">
        <v>12</v>
      </c>
    </row>
    <row r="9" spans="1:13" x14ac:dyDescent="0.2">
      <c r="A9" s="2" t="s">
        <v>13</v>
      </c>
      <c r="C9" s="2" t="s">
        <v>14</v>
      </c>
    </row>
    <row r="10" spans="1:13" x14ac:dyDescent="0.2">
      <c r="A10" s="2" t="s">
        <v>15</v>
      </c>
      <c r="C10" s="2" t="s">
        <v>16</v>
      </c>
    </row>
    <row r="11" spans="1:13" x14ac:dyDescent="0.2">
      <c r="I11" s="1" t="s">
        <v>17</v>
      </c>
    </row>
    <row r="12" spans="1:13" x14ac:dyDescent="0.2">
      <c r="D12" s="1" t="s">
        <v>18</v>
      </c>
      <c r="G12" s="1" t="s">
        <v>19</v>
      </c>
      <c r="H12" s="1" t="s">
        <v>20</v>
      </c>
      <c r="J12" s="1" t="s">
        <v>19</v>
      </c>
      <c r="K12" s="1" t="s">
        <v>21</v>
      </c>
      <c r="M12" s="1" t="s">
        <v>22</v>
      </c>
    </row>
    <row r="13" spans="1:13" x14ac:dyDescent="0.2">
      <c r="E13" s="1">
        <v>0</v>
      </c>
      <c r="G13" s="1">
        <v>0</v>
      </c>
      <c r="J13" s="2" t="s">
        <v>23</v>
      </c>
      <c r="K13" s="1">
        <f>L34</f>
        <v>1163.3400000000001</v>
      </c>
      <c r="M13" s="1">
        <f>(E13+G13)-K13</f>
        <v>-1163.3400000000001</v>
      </c>
    </row>
    <row r="14" spans="1:13" x14ac:dyDescent="0.2">
      <c r="A14" s="2" t="s">
        <v>24</v>
      </c>
      <c r="F14" s="3">
        <v>46115</v>
      </c>
    </row>
    <row r="15" spans="1:13" x14ac:dyDescent="0.2">
      <c r="A15" s="2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29</v>
      </c>
      <c r="L15" s="1" t="s">
        <v>31</v>
      </c>
      <c r="M15" s="1" t="s">
        <v>32</v>
      </c>
    </row>
    <row r="16" spans="1:13" x14ac:dyDescent="0.2">
      <c r="F16" s="1" t="s">
        <v>33</v>
      </c>
      <c r="G16" s="4">
        <v>1.63</v>
      </c>
      <c r="H16" s="4">
        <v>1.53</v>
      </c>
      <c r="I16" s="5">
        <v>0</v>
      </c>
      <c r="J16" s="4">
        <v>1.63</v>
      </c>
      <c r="K16" s="5">
        <v>0</v>
      </c>
      <c r="L16" s="4">
        <f t="shared" ref="L16:L28" si="0">H16*I16+J16*K16</f>
        <v>0</v>
      </c>
      <c r="M16" s="4">
        <f t="shared" ref="M16:M28" si="1">G16*I16+G16*K16-L16</f>
        <v>0</v>
      </c>
    </row>
    <row r="17" spans="1:13" x14ac:dyDescent="0.2">
      <c r="A17" s="2" t="s">
        <v>34</v>
      </c>
      <c r="B17" s="2" t="s">
        <v>35</v>
      </c>
      <c r="F17" s="1" t="s">
        <v>36</v>
      </c>
      <c r="G17" s="4">
        <v>1.9</v>
      </c>
      <c r="H17" s="4">
        <v>1.8</v>
      </c>
      <c r="I17" s="5">
        <v>32</v>
      </c>
      <c r="J17" s="4">
        <v>1.9</v>
      </c>
      <c r="K17" s="5">
        <v>0</v>
      </c>
      <c r="L17" s="4">
        <f t="shared" si="0"/>
        <v>57.6</v>
      </c>
      <c r="M17" s="4">
        <f t="shared" si="1"/>
        <v>3.1999999999999957</v>
      </c>
    </row>
    <row r="18" spans="1:13" x14ac:dyDescent="0.2">
      <c r="A18" s="2" t="s">
        <v>37</v>
      </c>
      <c r="B18" s="2" t="s">
        <v>38</v>
      </c>
      <c r="F18" s="1" t="s">
        <v>39</v>
      </c>
      <c r="G18" s="4">
        <v>2.17</v>
      </c>
      <c r="H18" s="4">
        <v>2.0699999999999998</v>
      </c>
      <c r="I18" s="5">
        <v>32</v>
      </c>
      <c r="J18" s="4">
        <v>2.17</v>
      </c>
      <c r="K18" s="5">
        <v>0</v>
      </c>
      <c r="L18" s="4">
        <f t="shared" si="0"/>
        <v>66.239999999999995</v>
      </c>
      <c r="M18" s="4">
        <f t="shared" si="1"/>
        <v>3.2000000000000028</v>
      </c>
    </row>
    <row r="19" spans="1:13" x14ac:dyDescent="0.2">
      <c r="A19" s="2" t="s">
        <v>40</v>
      </c>
      <c r="B19" s="2" t="s">
        <v>41</v>
      </c>
      <c r="F19" s="1" t="s">
        <v>42</v>
      </c>
      <c r="G19" s="4">
        <v>2.44</v>
      </c>
      <c r="H19" s="4">
        <v>2.34</v>
      </c>
      <c r="I19" s="5">
        <v>33</v>
      </c>
      <c r="J19" s="4">
        <v>2.44</v>
      </c>
      <c r="K19" s="5">
        <v>0</v>
      </c>
      <c r="L19" s="4">
        <f t="shared" si="0"/>
        <v>77.22</v>
      </c>
      <c r="M19" s="4">
        <f t="shared" si="1"/>
        <v>3.2999999999999972</v>
      </c>
    </row>
    <row r="20" spans="1:13" x14ac:dyDescent="0.2">
      <c r="F20" s="1" t="s">
        <v>43</v>
      </c>
      <c r="G20" s="4">
        <v>2.72</v>
      </c>
      <c r="H20" s="4">
        <v>2.62</v>
      </c>
      <c r="I20" s="5">
        <v>111</v>
      </c>
      <c r="J20" s="4">
        <v>2.72</v>
      </c>
      <c r="K20" s="5">
        <v>0</v>
      </c>
      <c r="L20" s="4">
        <f t="shared" si="0"/>
        <v>290.82</v>
      </c>
      <c r="M20" s="4">
        <f t="shared" si="1"/>
        <v>11.100000000000023</v>
      </c>
    </row>
    <row r="21" spans="1:13" x14ac:dyDescent="0.2">
      <c r="F21" s="1" t="s">
        <v>44</v>
      </c>
      <c r="G21" s="4">
        <v>3</v>
      </c>
      <c r="H21" s="4">
        <v>2.9</v>
      </c>
      <c r="I21" s="5">
        <v>46</v>
      </c>
      <c r="J21" s="4">
        <v>3</v>
      </c>
      <c r="K21" s="5">
        <v>0</v>
      </c>
      <c r="L21" s="4">
        <f t="shared" si="0"/>
        <v>133.4</v>
      </c>
      <c r="M21" s="4">
        <f t="shared" si="1"/>
        <v>4.5999999999999943</v>
      </c>
    </row>
    <row r="22" spans="1:13" x14ac:dyDescent="0.2">
      <c r="F22" s="1" t="s">
        <v>45</v>
      </c>
      <c r="G22" s="4">
        <v>3.28</v>
      </c>
      <c r="H22" s="4">
        <v>3.18</v>
      </c>
      <c r="I22" s="5">
        <v>16</v>
      </c>
      <c r="J22" s="4">
        <v>3.28</v>
      </c>
      <c r="K22" s="5">
        <v>0</v>
      </c>
      <c r="L22" s="4">
        <f t="shared" si="0"/>
        <v>50.88</v>
      </c>
      <c r="M22" s="4">
        <f t="shared" si="1"/>
        <v>1.5999999999999943</v>
      </c>
    </row>
    <row r="23" spans="1:13" x14ac:dyDescent="0.2">
      <c r="F23" s="1" t="s">
        <v>46</v>
      </c>
      <c r="G23" s="4">
        <v>3.56</v>
      </c>
      <c r="H23" s="4">
        <v>3.46</v>
      </c>
      <c r="I23" s="5">
        <v>28</v>
      </c>
      <c r="J23" s="4">
        <v>3.56</v>
      </c>
      <c r="K23" s="5">
        <v>0</v>
      </c>
      <c r="L23" s="4">
        <f t="shared" si="0"/>
        <v>96.88</v>
      </c>
      <c r="M23" s="4">
        <f t="shared" si="1"/>
        <v>2.8000000000000114</v>
      </c>
    </row>
    <row r="24" spans="1:13" x14ac:dyDescent="0.2">
      <c r="F24" s="1" t="s">
        <v>47</v>
      </c>
      <c r="G24" s="4">
        <v>3.84</v>
      </c>
      <c r="H24" s="4">
        <v>3.74</v>
      </c>
      <c r="I24" s="5">
        <v>2</v>
      </c>
      <c r="J24" s="4">
        <v>3.84</v>
      </c>
      <c r="K24" s="5">
        <v>0</v>
      </c>
      <c r="L24" s="4">
        <f t="shared" si="0"/>
        <v>7.48</v>
      </c>
      <c r="M24" s="4">
        <f t="shared" si="1"/>
        <v>0.19999999999999929</v>
      </c>
    </row>
    <row r="25" spans="1:13" x14ac:dyDescent="0.2">
      <c r="F25" s="1" t="s">
        <v>48</v>
      </c>
      <c r="G25" s="4">
        <v>4.1399999999999997</v>
      </c>
      <c r="H25" s="4">
        <v>4.04</v>
      </c>
      <c r="I25" s="5">
        <v>15</v>
      </c>
      <c r="J25" s="4">
        <v>4.1399999999999997</v>
      </c>
      <c r="K25" s="5">
        <v>0</v>
      </c>
      <c r="L25" s="4">
        <f t="shared" si="0"/>
        <v>60.6</v>
      </c>
      <c r="M25" s="4">
        <f t="shared" si="1"/>
        <v>1.4999999999999929</v>
      </c>
    </row>
    <row r="26" spans="1:13" x14ac:dyDescent="0.2">
      <c r="F26" s="1" t="s">
        <v>49</v>
      </c>
      <c r="G26" s="4">
        <v>4.4400000000000004</v>
      </c>
      <c r="H26" s="4">
        <v>4.34</v>
      </c>
      <c r="I26" s="5">
        <v>56</v>
      </c>
      <c r="J26" s="4">
        <v>4.4400000000000004</v>
      </c>
      <c r="K26" s="5">
        <v>0</v>
      </c>
      <c r="L26" s="4">
        <f t="shared" si="0"/>
        <v>243.04</v>
      </c>
      <c r="M26" s="4">
        <f t="shared" si="1"/>
        <v>5.6000000000000227</v>
      </c>
    </row>
    <row r="27" spans="1:13" x14ac:dyDescent="0.2">
      <c r="F27" s="1" t="s">
        <v>50</v>
      </c>
      <c r="G27" s="4">
        <v>4.74</v>
      </c>
      <c r="H27" s="4">
        <v>4.6399999999999997</v>
      </c>
      <c r="I27" s="5">
        <v>16</v>
      </c>
      <c r="J27" s="4">
        <v>4.74</v>
      </c>
      <c r="K27" s="5">
        <v>0</v>
      </c>
      <c r="L27" s="4">
        <f t="shared" si="0"/>
        <v>74.239999999999995</v>
      </c>
      <c r="M27" s="4">
        <f t="shared" si="1"/>
        <v>1.6000000000000085</v>
      </c>
    </row>
    <row r="28" spans="1:13" x14ac:dyDescent="0.2">
      <c r="F28" s="1" t="s">
        <v>51</v>
      </c>
      <c r="G28" s="4">
        <v>5.04</v>
      </c>
      <c r="H28" s="4">
        <v>4.9400000000000004</v>
      </c>
      <c r="I28" s="5">
        <v>1</v>
      </c>
      <c r="J28" s="4">
        <v>5.04</v>
      </c>
      <c r="K28" s="5">
        <v>0</v>
      </c>
      <c r="L28" s="4">
        <f t="shared" si="0"/>
        <v>4.9400000000000004</v>
      </c>
      <c r="M28" s="4">
        <f t="shared" si="1"/>
        <v>9.9999999999999645E-2</v>
      </c>
    </row>
    <row r="29" spans="1:13" x14ac:dyDescent="0.2">
      <c r="F29" s="1" t="s">
        <v>52</v>
      </c>
      <c r="G29" s="4">
        <v>0</v>
      </c>
      <c r="H29" s="4">
        <v>0</v>
      </c>
      <c r="I29" s="5">
        <v>0</v>
      </c>
      <c r="J29" s="4">
        <v>0</v>
      </c>
      <c r="K29" s="5">
        <v>0</v>
      </c>
      <c r="L29" s="4">
        <v>0</v>
      </c>
      <c r="M29" s="4">
        <v>0</v>
      </c>
    </row>
    <row r="30" spans="1:13" x14ac:dyDescent="0.2">
      <c r="F30" s="1"/>
      <c r="G30" s="4">
        <v>0</v>
      </c>
      <c r="H30" s="4">
        <v>0</v>
      </c>
      <c r="I30" s="5">
        <v>0</v>
      </c>
      <c r="J30" s="4">
        <v>0</v>
      </c>
      <c r="K30" s="5">
        <v>0</v>
      </c>
      <c r="L30" s="4">
        <v>0</v>
      </c>
      <c r="M30" s="4">
        <v>0</v>
      </c>
    </row>
    <row r="31" spans="1:13" x14ac:dyDescent="0.2">
      <c r="F31" s="1"/>
      <c r="G31" s="4">
        <v>0</v>
      </c>
      <c r="H31" s="4">
        <v>0</v>
      </c>
      <c r="I31" s="5">
        <v>0</v>
      </c>
      <c r="J31" s="4">
        <v>0</v>
      </c>
      <c r="K31" s="5">
        <v>0</v>
      </c>
      <c r="L31" s="4">
        <v>0</v>
      </c>
      <c r="M31" s="4">
        <v>0</v>
      </c>
    </row>
    <row r="32" spans="1:13" x14ac:dyDescent="0.2">
      <c r="F32" s="1" t="s">
        <v>53</v>
      </c>
      <c r="G32" s="4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4">
        <v>0</v>
      </c>
    </row>
    <row r="33" spans="1:13" x14ac:dyDescent="0.2">
      <c r="I33" s="1">
        <f>SUM(I16:I32)</f>
        <v>388</v>
      </c>
      <c r="K33" s="1">
        <f>SUM(K16:K32)</f>
        <v>0</v>
      </c>
      <c r="M33" s="1" t="s">
        <v>54</v>
      </c>
    </row>
    <row r="34" spans="1:13" x14ac:dyDescent="0.2">
      <c r="H34" s="1" t="s">
        <v>55</v>
      </c>
      <c r="I34" s="1">
        <f>SUM(I33+K33)</f>
        <v>388</v>
      </c>
      <c r="K34" s="1" t="s">
        <v>56</v>
      </c>
      <c r="L34" s="4">
        <f>SUM(L16:L33)</f>
        <v>1163.3400000000001</v>
      </c>
      <c r="M34" s="4">
        <f>SUM(M16:M33)</f>
        <v>38.800000000000047</v>
      </c>
    </row>
    <row r="36" spans="1:13" x14ac:dyDescent="0.2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61</v>
      </c>
    </row>
    <row r="37" spans="1:13" x14ac:dyDescent="0.2">
      <c r="A37" s="1">
        <v>2166</v>
      </c>
      <c r="B37" s="1" t="s">
        <v>62</v>
      </c>
      <c r="C37" s="5">
        <v>0</v>
      </c>
      <c r="D37" s="4">
        <v>0</v>
      </c>
      <c r="E37" s="4">
        <v>0</v>
      </c>
    </row>
    <row r="38" spans="1:13" x14ac:dyDescent="0.2">
      <c r="A38" s="1">
        <v>2167</v>
      </c>
      <c r="B38" s="1" t="s">
        <v>63</v>
      </c>
      <c r="C38" s="5">
        <v>0</v>
      </c>
      <c r="D38" s="4">
        <v>0</v>
      </c>
      <c r="E38" s="4">
        <v>0</v>
      </c>
    </row>
    <row r="39" spans="1:13" x14ac:dyDescent="0.2">
      <c r="A39" s="1">
        <v>2168</v>
      </c>
      <c r="B39" s="1" t="s">
        <v>64</v>
      </c>
      <c r="C39" s="5">
        <v>0</v>
      </c>
      <c r="D39" s="4">
        <v>0</v>
      </c>
      <c r="E39" s="4">
        <v>0</v>
      </c>
    </row>
    <row r="40" spans="1:13" x14ac:dyDescent="0.2">
      <c r="A40" s="1">
        <v>2169</v>
      </c>
      <c r="B40" s="1" t="s">
        <v>65</v>
      </c>
      <c r="C40" s="5">
        <v>1</v>
      </c>
      <c r="D40" s="4">
        <v>1.51</v>
      </c>
      <c r="E40" s="4">
        <v>0.1</v>
      </c>
    </row>
    <row r="41" spans="1:13" x14ac:dyDescent="0.2">
      <c r="A41" s="1">
        <v>2170</v>
      </c>
      <c r="B41" s="1" t="s">
        <v>66</v>
      </c>
      <c r="C41" s="5">
        <v>0</v>
      </c>
      <c r="D41" s="4">
        <v>0</v>
      </c>
      <c r="E41" s="4">
        <v>0</v>
      </c>
    </row>
    <row r="42" spans="1:13" x14ac:dyDescent="0.2">
      <c r="A42" s="1">
        <v>2171</v>
      </c>
      <c r="B42" s="1" t="s">
        <v>67</v>
      </c>
      <c r="C42" s="5">
        <v>0</v>
      </c>
      <c r="D42" s="4">
        <v>0</v>
      </c>
      <c r="E42" s="4">
        <v>0</v>
      </c>
    </row>
    <row r="43" spans="1:13" x14ac:dyDescent="0.2">
      <c r="A43" s="1">
        <v>2172</v>
      </c>
      <c r="B43" s="1" t="s">
        <v>68</v>
      </c>
      <c r="C43" s="5">
        <v>0</v>
      </c>
      <c r="D43" s="4">
        <v>0</v>
      </c>
      <c r="E43" s="4">
        <v>0</v>
      </c>
    </row>
    <row r="44" spans="1:13" x14ac:dyDescent="0.2">
      <c r="A44" s="1">
        <v>2173</v>
      </c>
      <c r="B44" s="1" t="s">
        <v>69</v>
      </c>
      <c r="C44" s="5">
        <v>0</v>
      </c>
      <c r="D44" s="4">
        <v>0</v>
      </c>
      <c r="E44" s="4">
        <v>0</v>
      </c>
    </row>
    <row r="45" spans="1:13" x14ac:dyDescent="0.2">
      <c r="A45" s="1">
        <v>2174</v>
      </c>
      <c r="B45" s="1" t="s">
        <v>70</v>
      </c>
      <c r="C45" s="5">
        <v>0</v>
      </c>
      <c r="D45" s="4">
        <v>0</v>
      </c>
      <c r="E45" s="4">
        <v>0</v>
      </c>
    </row>
    <row r="46" spans="1:13" x14ac:dyDescent="0.2">
      <c r="A46" s="1">
        <v>2175</v>
      </c>
      <c r="B46" s="1" t="s">
        <v>71</v>
      </c>
      <c r="C46" s="5">
        <v>0</v>
      </c>
      <c r="D46" s="4">
        <v>0</v>
      </c>
      <c r="E46" s="4">
        <v>0</v>
      </c>
    </row>
    <row r="47" spans="1:13" x14ac:dyDescent="0.2">
      <c r="A47" s="1">
        <v>2176</v>
      </c>
      <c r="B47" s="1" t="s">
        <v>72</v>
      </c>
      <c r="C47" s="5">
        <v>0</v>
      </c>
      <c r="D47" s="4">
        <v>0</v>
      </c>
      <c r="E47" s="4">
        <v>0</v>
      </c>
    </row>
    <row r="48" spans="1:13" x14ac:dyDescent="0.2">
      <c r="A48" s="1">
        <v>2177</v>
      </c>
      <c r="B48" s="1" t="s">
        <v>73</v>
      </c>
      <c r="C48" s="5">
        <v>0</v>
      </c>
      <c r="D48" s="4">
        <v>0</v>
      </c>
      <c r="E48" s="4">
        <v>0</v>
      </c>
    </row>
    <row r="49" spans="1:5" x14ac:dyDescent="0.2">
      <c r="A49" s="1">
        <v>2178</v>
      </c>
      <c r="B49" s="1" t="s">
        <v>74</v>
      </c>
      <c r="C49" s="5">
        <v>0</v>
      </c>
      <c r="D49" s="4">
        <v>0</v>
      </c>
      <c r="E49" s="4">
        <v>0</v>
      </c>
    </row>
    <row r="50" spans="1:5" x14ac:dyDescent="0.2">
      <c r="A50" s="1">
        <v>2179</v>
      </c>
      <c r="B50" s="1" t="s">
        <v>75</v>
      </c>
      <c r="C50" s="5">
        <v>0</v>
      </c>
      <c r="D50" s="4">
        <v>0</v>
      </c>
      <c r="E50" s="4">
        <v>0</v>
      </c>
    </row>
    <row r="51" spans="1:5" x14ac:dyDescent="0.2">
      <c r="A51" s="1">
        <v>2180</v>
      </c>
      <c r="B51" s="1" t="s">
        <v>76</v>
      </c>
      <c r="C51" s="5">
        <v>0</v>
      </c>
      <c r="D51" s="4">
        <v>0</v>
      </c>
      <c r="E51" s="4">
        <v>0</v>
      </c>
    </row>
    <row r="52" spans="1:5" x14ac:dyDescent="0.2">
      <c r="A52" s="1">
        <v>2181</v>
      </c>
      <c r="B52" s="1" t="s">
        <v>77</v>
      </c>
      <c r="C52" s="5">
        <v>0</v>
      </c>
      <c r="D52" s="4">
        <v>0</v>
      </c>
      <c r="E52" s="4">
        <v>0</v>
      </c>
    </row>
    <row r="53" spans="1:5" x14ac:dyDescent="0.2">
      <c r="A53" s="1">
        <v>2182</v>
      </c>
      <c r="B53" s="1" t="s">
        <v>78</v>
      </c>
      <c r="C53" s="5">
        <v>0</v>
      </c>
      <c r="D53" s="4">
        <v>0</v>
      </c>
      <c r="E53" s="4">
        <v>0</v>
      </c>
    </row>
    <row r="54" spans="1:5" x14ac:dyDescent="0.2">
      <c r="A54" s="1">
        <v>2183</v>
      </c>
      <c r="B54" s="1" t="s">
        <v>79</v>
      </c>
      <c r="C54" s="5">
        <v>0</v>
      </c>
      <c r="D54" s="4">
        <v>0</v>
      </c>
      <c r="E54" s="4">
        <v>0</v>
      </c>
    </row>
    <row r="55" spans="1:5" x14ac:dyDescent="0.2">
      <c r="A55" s="1">
        <v>2184</v>
      </c>
      <c r="B55" s="1" t="s">
        <v>80</v>
      </c>
      <c r="C55" s="5">
        <v>0</v>
      </c>
      <c r="D55" s="4">
        <v>0</v>
      </c>
      <c r="E55" s="4">
        <v>0</v>
      </c>
    </row>
    <row r="56" spans="1:5" x14ac:dyDescent="0.2">
      <c r="A56" s="1">
        <v>2185</v>
      </c>
      <c r="B56" s="1" t="s">
        <v>81</v>
      </c>
      <c r="C56" s="5">
        <v>0</v>
      </c>
      <c r="D56" s="4">
        <v>0</v>
      </c>
      <c r="E56" s="4">
        <v>0</v>
      </c>
    </row>
    <row r="57" spans="1:5" x14ac:dyDescent="0.2">
      <c r="A57" s="1">
        <v>2186</v>
      </c>
      <c r="B57" s="1" t="s">
        <v>82</v>
      </c>
      <c r="C57" s="5">
        <v>0</v>
      </c>
      <c r="D57" s="4">
        <v>0</v>
      </c>
      <c r="E57" s="4">
        <v>0</v>
      </c>
    </row>
    <row r="58" spans="1:5" x14ac:dyDescent="0.2">
      <c r="A58" s="1">
        <v>2187</v>
      </c>
      <c r="B58" s="1" t="s">
        <v>83</v>
      </c>
      <c r="C58" s="5">
        <v>0</v>
      </c>
      <c r="D58" s="4">
        <v>0</v>
      </c>
      <c r="E58" s="4">
        <v>0</v>
      </c>
    </row>
    <row r="59" spans="1:5" x14ac:dyDescent="0.2">
      <c r="A59" s="1">
        <v>2188</v>
      </c>
      <c r="B59" s="1" t="s">
        <v>84</v>
      </c>
      <c r="C59" s="5">
        <v>0</v>
      </c>
      <c r="D59" s="4">
        <v>0</v>
      </c>
      <c r="E59" s="4">
        <v>0</v>
      </c>
    </row>
    <row r="60" spans="1:5" x14ac:dyDescent="0.2">
      <c r="A60" s="1">
        <v>2189</v>
      </c>
      <c r="B60" s="1" t="s">
        <v>85</v>
      </c>
      <c r="C60" s="5">
        <v>0</v>
      </c>
      <c r="D60" s="4">
        <v>0</v>
      </c>
      <c r="E60" s="4">
        <v>0</v>
      </c>
    </row>
    <row r="61" spans="1:5" x14ac:dyDescent="0.2">
      <c r="A61" s="1">
        <v>2190</v>
      </c>
      <c r="B61" s="1" t="s">
        <v>86</v>
      </c>
      <c r="C61" s="5">
        <v>0</v>
      </c>
      <c r="D61" s="4">
        <v>0</v>
      </c>
      <c r="E61" s="4">
        <v>0</v>
      </c>
    </row>
    <row r="62" spans="1:5" x14ac:dyDescent="0.2">
      <c r="A62" s="1">
        <v>2191</v>
      </c>
      <c r="B62" s="1" t="s">
        <v>87</v>
      </c>
      <c r="C62" s="5">
        <v>1</v>
      </c>
      <c r="D62" s="4">
        <v>1.51</v>
      </c>
      <c r="E62" s="4">
        <v>0.1</v>
      </c>
    </row>
    <row r="63" spans="1:5" x14ac:dyDescent="0.2">
      <c r="A63" s="1">
        <v>2192</v>
      </c>
      <c r="B63" s="1" t="s">
        <v>88</v>
      </c>
      <c r="C63" s="5">
        <v>0</v>
      </c>
      <c r="D63" s="4">
        <v>0</v>
      </c>
      <c r="E63" s="4">
        <v>0</v>
      </c>
    </row>
    <row r="64" spans="1:5" x14ac:dyDescent="0.2">
      <c r="A64" s="1">
        <v>2193</v>
      </c>
      <c r="B64" s="1" t="s">
        <v>89</v>
      </c>
      <c r="C64" s="5">
        <v>0</v>
      </c>
      <c r="D64" s="4">
        <v>0</v>
      </c>
      <c r="E64" s="4">
        <v>0</v>
      </c>
    </row>
    <row r="65" spans="1:5" x14ac:dyDescent="0.2">
      <c r="A65" s="1">
        <v>2194</v>
      </c>
      <c r="B65" s="1" t="s">
        <v>90</v>
      </c>
      <c r="C65" s="5">
        <v>0</v>
      </c>
      <c r="D65" s="4">
        <v>0</v>
      </c>
      <c r="E65" s="4">
        <v>0</v>
      </c>
    </row>
    <row r="66" spans="1:5" x14ac:dyDescent="0.2">
      <c r="A66" s="1">
        <v>2195</v>
      </c>
      <c r="B66" s="1" t="s">
        <v>91</v>
      </c>
      <c r="C66" s="5">
        <v>0</v>
      </c>
      <c r="D66" s="4">
        <v>0</v>
      </c>
      <c r="E66" s="4">
        <v>0</v>
      </c>
    </row>
    <row r="67" spans="1:5" x14ac:dyDescent="0.2">
      <c r="A67" s="1">
        <v>2196</v>
      </c>
      <c r="B67" s="1" t="s">
        <v>92</v>
      </c>
      <c r="C67" s="5">
        <v>0</v>
      </c>
      <c r="D67" s="4">
        <v>0</v>
      </c>
      <c r="E67" s="4">
        <v>0</v>
      </c>
    </row>
    <row r="68" spans="1:5" x14ac:dyDescent="0.2">
      <c r="A68" s="1">
        <v>2197</v>
      </c>
      <c r="B68" s="1" t="s">
        <v>93</v>
      </c>
      <c r="C68" s="5">
        <v>0</v>
      </c>
      <c r="D68" s="4">
        <v>0</v>
      </c>
      <c r="E68" s="4">
        <v>0</v>
      </c>
    </row>
    <row r="69" spans="1:5" x14ac:dyDescent="0.2">
      <c r="A69" s="1">
        <v>2198</v>
      </c>
      <c r="B69" s="1" t="s">
        <v>94</v>
      </c>
      <c r="C69" s="5">
        <v>0</v>
      </c>
      <c r="D69" s="4">
        <v>0</v>
      </c>
      <c r="E69" s="4">
        <v>0</v>
      </c>
    </row>
    <row r="70" spans="1:5" x14ac:dyDescent="0.2">
      <c r="A70" s="1">
        <v>2199</v>
      </c>
      <c r="B70" s="1" t="s">
        <v>95</v>
      </c>
      <c r="C70" s="5">
        <v>0</v>
      </c>
      <c r="D70" s="4">
        <v>0</v>
      </c>
      <c r="E70" s="4">
        <v>0</v>
      </c>
    </row>
    <row r="71" spans="1:5" x14ac:dyDescent="0.2">
      <c r="A71" s="1">
        <v>2200</v>
      </c>
      <c r="B71" s="1" t="s">
        <v>96</v>
      </c>
      <c r="C71" s="5">
        <v>0</v>
      </c>
      <c r="D71" s="4">
        <v>0</v>
      </c>
      <c r="E71" s="4">
        <v>0</v>
      </c>
    </row>
    <row r="72" spans="1:5" x14ac:dyDescent="0.2">
      <c r="A72" s="1">
        <v>2201</v>
      </c>
      <c r="B72" s="1" t="s">
        <v>97</v>
      </c>
      <c r="C72" s="5">
        <v>0</v>
      </c>
      <c r="D72" s="4">
        <v>0</v>
      </c>
      <c r="E72" s="4">
        <v>0</v>
      </c>
    </row>
    <row r="73" spans="1:5" x14ac:dyDescent="0.2">
      <c r="A73" s="1">
        <v>2202</v>
      </c>
      <c r="B73" s="1" t="s">
        <v>98</v>
      </c>
      <c r="C73" s="5">
        <v>0</v>
      </c>
      <c r="D73" s="4">
        <v>0</v>
      </c>
      <c r="E73" s="4">
        <v>0</v>
      </c>
    </row>
    <row r="74" spans="1:5" x14ac:dyDescent="0.2">
      <c r="A74" s="1">
        <v>2203</v>
      </c>
      <c r="B74" s="1" t="s">
        <v>99</v>
      </c>
      <c r="C74" s="5">
        <v>0</v>
      </c>
      <c r="D74" s="4">
        <v>0</v>
      </c>
      <c r="E74" s="4">
        <v>0</v>
      </c>
    </row>
    <row r="75" spans="1:5" x14ac:dyDescent="0.2">
      <c r="A75" s="1">
        <v>2204</v>
      </c>
      <c r="B75" s="1" t="s">
        <v>100</v>
      </c>
      <c r="C75" s="5">
        <v>0</v>
      </c>
      <c r="D75" s="4">
        <v>0</v>
      </c>
      <c r="E75" s="4">
        <v>0</v>
      </c>
    </row>
    <row r="76" spans="1:5" x14ac:dyDescent="0.2">
      <c r="A76" s="1">
        <v>2205</v>
      </c>
      <c r="B76" s="1" t="s">
        <v>101</v>
      </c>
      <c r="C76" s="5">
        <v>0</v>
      </c>
      <c r="D76" s="4">
        <v>0</v>
      </c>
      <c r="E76" s="4">
        <v>0</v>
      </c>
    </row>
    <row r="77" spans="1:5" x14ac:dyDescent="0.2">
      <c r="A77" s="1">
        <v>2206</v>
      </c>
      <c r="B77" s="1" t="s">
        <v>102</v>
      </c>
      <c r="C77" s="5">
        <v>0</v>
      </c>
      <c r="D77" s="4">
        <v>0</v>
      </c>
      <c r="E77" s="4">
        <v>0</v>
      </c>
    </row>
    <row r="78" spans="1:5" x14ac:dyDescent="0.2">
      <c r="A78" s="1">
        <v>2207</v>
      </c>
      <c r="B78" s="1" t="s">
        <v>103</v>
      </c>
      <c r="C78" s="5">
        <v>0</v>
      </c>
      <c r="D78" s="4">
        <v>0</v>
      </c>
      <c r="E78" s="4">
        <v>0</v>
      </c>
    </row>
    <row r="79" spans="1:5" x14ac:dyDescent="0.2">
      <c r="A79" s="1">
        <v>2208</v>
      </c>
      <c r="B79" s="1" t="s">
        <v>104</v>
      </c>
      <c r="C79" s="5">
        <v>0</v>
      </c>
      <c r="D79" s="4">
        <v>0</v>
      </c>
      <c r="E79" s="4">
        <v>0</v>
      </c>
    </row>
    <row r="80" spans="1:5" x14ac:dyDescent="0.2">
      <c r="A80" s="1">
        <v>2209</v>
      </c>
      <c r="B80" s="1" t="s">
        <v>105</v>
      </c>
      <c r="C80" s="5">
        <v>0</v>
      </c>
      <c r="D80" s="4">
        <v>0</v>
      </c>
      <c r="E80" s="4">
        <v>0</v>
      </c>
    </row>
    <row r="81" spans="1:5" x14ac:dyDescent="0.2">
      <c r="A81" s="1">
        <v>2210</v>
      </c>
      <c r="B81" s="1" t="s">
        <v>106</v>
      </c>
      <c r="C81" s="5">
        <v>0</v>
      </c>
      <c r="D81" s="4">
        <v>0</v>
      </c>
      <c r="E81" s="4">
        <v>0</v>
      </c>
    </row>
    <row r="82" spans="1:5" x14ac:dyDescent="0.2">
      <c r="A82" s="1">
        <v>2211</v>
      </c>
      <c r="B82" s="1" t="s">
        <v>107</v>
      </c>
      <c r="C82" s="5">
        <v>25</v>
      </c>
      <c r="D82" s="4">
        <v>64.72</v>
      </c>
      <c r="E82" s="4">
        <v>2.5</v>
      </c>
    </row>
    <row r="83" spans="1:5" x14ac:dyDescent="0.2">
      <c r="A83" s="1">
        <v>2212</v>
      </c>
      <c r="B83" s="1" t="s">
        <v>108</v>
      </c>
      <c r="C83" s="5">
        <v>0</v>
      </c>
      <c r="D83" s="4">
        <v>0</v>
      </c>
      <c r="E83" s="4">
        <v>0</v>
      </c>
    </row>
    <row r="84" spans="1:5" x14ac:dyDescent="0.2">
      <c r="A84" s="1">
        <v>2213</v>
      </c>
      <c r="B84" s="1" t="s">
        <v>109</v>
      </c>
      <c r="C84" s="5">
        <v>3</v>
      </c>
      <c r="D84" s="4">
        <v>4.53</v>
      </c>
      <c r="E84" s="4">
        <v>0.3</v>
      </c>
    </row>
    <row r="85" spans="1:5" x14ac:dyDescent="0.2">
      <c r="A85" s="1">
        <v>2214</v>
      </c>
      <c r="B85" s="1" t="s">
        <v>110</v>
      </c>
      <c r="C85" s="5">
        <v>0</v>
      </c>
      <c r="D85" s="4">
        <v>0</v>
      </c>
      <c r="E85" s="4">
        <v>0</v>
      </c>
    </row>
    <row r="86" spans="1:5" x14ac:dyDescent="0.2">
      <c r="A86" s="1">
        <v>2215</v>
      </c>
      <c r="B86" s="1" t="s">
        <v>111</v>
      </c>
      <c r="C86" s="5">
        <v>0</v>
      </c>
      <c r="D86" s="4">
        <v>0</v>
      </c>
      <c r="E86" s="4">
        <v>0</v>
      </c>
    </row>
    <row r="87" spans="1:5" x14ac:dyDescent="0.2">
      <c r="A87" s="1">
        <v>2216</v>
      </c>
      <c r="B87" s="1" t="s">
        <v>112</v>
      </c>
      <c r="C87" s="5">
        <v>0</v>
      </c>
      <c r="D87" s="4">
        <v>0</v>
      </c>
      <c r="E87" s="4">
        <v>0</v>
      </c>
    </row>
    <row r="88" spans="1:5" x14ac:dyDescent="0.2">
      <c r="A88" s="1">
        <v>2217</v>
      </c>
      <c r="B88" s="1" t="s">
        <v>113</v>
      </c>
      <c r="C88" s="5">
        <v>0</v>
      </c>
      <c r="D88" s="4">
        <v>0</v>
      </c>
      <c r="E88" s="4">
        <v>0</v>
      </c>
    </row>
    <row r="89" spans="1:5" x14ac:dyDescent="0.2">
      <c r="A89" s="1">
        <v>2218</v>
      </c>
      <c r="B89" s="1" t="s">
        <v>114</v>
      </c>
      <c r="C89" s="5">
        <v>0</v>
      </c>
      <c r="D89" s="4">
        <v>0</v>
      </c>
      <c r="E89" s="4">
        <v>0</v>
      </c>
    </row>
    <row r="90" spans="1:5" x14ac:dyDescent="0.2">
      <c r="A90" s="1">
        <v>2219</v>
      </c>
      <c r="B90" s="1" t="s">
        <v>115</v>
      </c>
      <c r="C90" s="5">
        <v>0</v>
      </c>
      <c r="D90" s="4">
        <v>0</v>
      </c>
      <c r="E90" s="4">
        <v>0</v>
      </c>
    </row>
    <row r="91" spans="1:5" x14ac:dyDescent="0.2">
      <c r="A91" s="1">
        <v>2220</v>
      </c>
      <c r="B91" s="1" t="s">
        <v>116</v>
      </c>
      <c r="C91" s="5">
        <v>0</v>
      </c>
      <c r="D91" s="4">
        <v>0</v>
      </c>
      <c r="E91" s="4">
        <v>0</v>
      </c>
    </row>
    <row r="92" spans="1:5" x14ac:dyDescent="0.2">
      <c r="A92" s="1">
        <v>2221</v>
      </c>
      <c r="B92" s="1" t="s">
        <v>117</v>
      </c>
      <c r="C92" s="5">
        <v>0</v>
      </c>
      <c r="D92" s="4">
        <v>0</v>
      </c>
      <c r="E92" s="4">
        <v>0</v>
      </c>
    </row>
    <row r="93" spans="1:5" x14ac:dyDescent="0.2">
      <c r="A93" s="1">
        <v>2222</v>
      </c>
      <c r="B93" s="1" t="s">
        <v>118</v>
      </c>
      <c r="C93" s="5">
        <v>0</v>
      </c>
      <c r="D93" s="4">
        <v>0</v>
      </c>
      <c r="E93" s="4">
        <v>0</v>
      </c>
    </row>
    <row r="94" spans="1:5" x14ac:dyDescent="0.2">
      <c r="A94" s="1">
        <v>2223</v>
      </c>
      <c r="B94" s="1" t="s">
        <v>119</v>
      </c>
      <c r="C94" s="5">
        <v>0</v>
      </c>
      <c r="D94" s="4">
        <v>0</v>
      </c>
      <c r="E94" s="4">
        <v>0</v>
      </c>
    </row>
    <row r="95" spans="1:5" x14ac:dyDescent="0.2">
      <c r="A95" s="1">
        <v>2224</v>
      </c>
      <c r="B95" s="1" t="s">
        <v>120</v>
      </c>
      <c r="C95" s="5">
        <v>0</v>
      </c>
      <c r="D95" s="4">
        <v>0</v>
      </c>
      <c r="E95" s="4">
        <v>0</v>
      </c>
    </row>
    <row r="96" spans="1:5" x14ac:dyDescent="0.2">
      <c r="A96" s="1">
        <v>2225</v>
      </c>
      <c r="B96" s="1" t="s">
        <v>121</v>
      </c>
      <c r="C96" s="5">
        <v>0</v>
      </c>
      <c r="D96" s="4">
        <v>0</v>
      </c>
      <c r="E96" s="4">
        <v>0</v>
      </c>
    </row>
    <row r="97" spans="1:5" x14ac:dyDescent="0.2">
      <c r="A97" s="1">
        <v>2226</v>
      </c>
      <c r="B97" s="1" t="s">
        <v>122</v>
      </c>
      <c r="C97" s="5">
        <v>0</v>
      </c>
      <c r="D97" s="4">
        <v>0</v>
      </c>
      <c r="E97" s="4">
        <v>0</v>
      </c>
    </row>
    <row r="98" spans="1:5" x14ac:dyDescent="0.2">
      <c r="A98" s="1">
        <v>2227</v>
      </c>
      <c r="B98" s="1" t="s">
        <v>123</v>
      </c>
      <c r="C98" s="5">
        <v>0</v>
      </c>
      <c r="D98" s="4">
        <v>0</v>
      </c>
      <c r="E98" s="4">
        <v>0</v>
      </c>
    </row>
    <row r="99" spans="1:5" x14ac:dyDescent="0.2">
      <c r="A99" s="1">
        <v>2228</v>
      </c>
      <c r="B99" s="1" t="s">
        <v>124</v>
      </c>
      <c r="C99" s="5">
        <v>0</v>
      </c>
      <c r="D99" s="4">
        <v>0</v>
      </c>
      <c r="E99" s="4">
        <v>0</v>
      </c>
    </row>
    <row r="100" spans="1:5" x14ac:dyDescent="0.2">
      <c r="A100" s="1">
        <v>2229</v>
      </c>
      <c r="B100" s="1" t="s">
        <v>125</v>
      </c>
      <c r="C100" s="5">
        <v>0</v>
      </c>
      <c r="D100" s="4">
        <v>0</v>
      </c>
      <c r="E100" s="4">
        <v>0</v>
      </c>
    </row>
    <row r="101" spans="1:5" x14ac:dyDescent="0.2">
      <c r="A101" s="1">
        <v>2230</v>
      </c>
      <c r="B101" s="1" t="s">
        <v>126</v>
      </c>
      <c r="C101" s="5">
        <v>0</v>
      </c>
      <c r="D101" s="4">
        <v>0</v>
      </c>
      <c r="E101" s="4">
        <v>0</v>
      </c>
    </row>
    <row r="102" spans="1:5" x14ac:dyDescent="0.2">
      <c r="A102" s="1">
        <v>2231</v>
      </c>
      <c r="B102" s="1" t="s">
        <v>127</v>
      </c>
      <c r="C102" s="5">
        <v>0</v>
      </c>
      <c r="D102" s="4">
        <v>0</v>
      </c>
      <c r="E102" s="4">
        <v>0</v>
      </c>
    </row>
    <row r="103" spans="1:5" x14ac:dyDescent="0.2">
      <c r="A103" s="1">
        <v>2232</v>
      </c>
      <c r="B103" s="1" t="s">
        <v>128</v>
      </c>
      <c r="C103" s="5">
        <v>0</v>
      </c>
      <c r="D103" s="4">
        <v>0</v>
      </c>
      <c r="E103" s="4">
        <v>0</v>
      </c>
    </row>
    <row r="104" spans="1:5" x14ac:dyDescent="0.2">
      <c r="A104" s="1">
        <v>2233</v>
      </c>
      <c r="B104" s="1" t="s">
        <v>129</v>
      </c>
      <c r="C104" s="5">
        <v>0</v>
      </c>
      <c r="D104" s="4">
        <v>0</v>
      </c>
      <c r="E104" s="4">
        <v>0</v>
      </c>
    </row>
    <row r="105" spans="1:5" x14ac:dyDescent="0.2">
      <c r="A105" s="1">
        <v>2234</v>
      </c>
      <c r="B105" s="1" t="s">
        <v>130</v>
      </c>
      <c r="C105" s="5">
        <v>0</v>
      </c>
      <c r="D105" s="4">
        <v>0</v>
      </c>
      <c r="E105" s="4">
        <v>0</v>
      </c>
    </row>
    <row r="106" spans="1:5" x14ac:dyDescent="0.2">
      <c r="A106" s="1">
        <v>2235</v>
      </c>
      <c r="B106" s="1" t="s">
        <v>131</v>
      </c>
      <c r="C106" s="5">
        <v>0</v>
      </c>
      <c r="D106" s="4">
        <v>0</v>
      </c>
      <c r="E106" s="4">
        <v>0</v>
      </c>
    </row>
    <row r="107" spans="1:5" x14ac:dyDescent="0.2">
      <c r="A107" s="1">
        <v>2236</v>
      </c>
      <c r="B107" s="1" t="s">
        <v>132</v>
      </c>
      <c r="C107" s="5">
        <v>0</v>
      </c>
      <c r="D107" s="4">
        <v>0</v>
      </c>
      <c r="E107" s="4">
        <v>0</v>
      </c>
    </row>
    <row r="108" spans="1:5" x14ac:dyDescent="0.2">
      <c r="A108" s="1">
        <v>2237</v>
      </c>
      <c r="B108" s="1" t="s">
        <v>133</v>
      </c>
      <c r="C108" s="5">
        <v>0</v>
      </c>
      <c r="D108" s="4">
        <v>0</v>
      </c>
      <c r="E108" s="4">
        <v>0</v>
      </c>
    </row>
    <row r="109" spans="1:5" x14ac:dyDescent="0.2">
      <c r="A109" s="1">
        <v>2238</v>
      </c>
      <c r="B109" s="1" t="s">
        <v>134</v>
      </c>
      <c r="C109" s="5">
        <v>0</v>
      </c>
      <c r="D109" s="4">
        <v>0</v>
      </c>
      <c r="E109" s="4">
        <v>0</v>
      </c>
    </row>
    <row r="110" spans="1:5" x14ac:dyDescent="0.2">
      <c r="A110" s="1">
        <v>2239</v>
      </c>
      <c r="B110" s="1" t="s">
        <v>135</v>
      </c>
      <c r="C110" s="5">
        <v>0</v>
      </c>
      <c r="D110" s="4">
        <v>0</v>
      </c>
      <c r="E110" s="4">
        <v>0</v>
      </c>
    </row>
    <row r="111" spans="1:5" x14ac:dyDescent="0.2">
      <c r="A111" s="1">
        <v>2240</v>
      </c>
      <c r="B111" s="1" t="s">
        <v>136</v>
      </c>
      <c r="C111" s="5">
        <v>0</v>
      </c>
      <c r="D111" s="4">
        <v>0</v>
      </c>
      <c r="E111" s="4">
        <v>0</v>
      </c>
    </row>
    <row r="112" spans="1:5" x14ac:dyDescent="0.2">
      <c r="A112" s="1">
        <v>2241</v>
      </c>
      <c r="B112" s="1" t="s">
        <v>137</v>
      </c>
      <c r="C112" s="5">
        <v>0</v>
      </c>
      <c r="D112" s="4">
        <v>0</v>
      </c>
      <c r="E112" s="4">
        <v>0</v>
      </c>
    </row>
    <row r="113" spans="1:5" x14ac:dyDescent="0.2">
      <c r="A113" s="1">
        <v>2242</v>
      </c>
      <c r="B113" s="1" t="s">
        <v>138</v>
      </c>
      <c r="C113" s="5">
        <v>0</v>
      </c>
      <c r="D113" s="4">
        <v>0</v>
      </c>
      <c r="E113" s="4">
        <v>0</v>
      </c>
    </row>
    <row r="114" spans="1:5" x14ac:dyDescent="0.2">
      <c r="A114" s="1">
        <v>2243</v>
      </c>
      <c r="B114" s="1" t="s">
        <v>139</v>
      </c>
      <c r="C114" s="5">
        <v>39</v>
      </c>
      <c r="D114" s="4">
        <v>72.33</v>
      </c>
      <c r="E114" s="4">
        <v>3.9</v>
      </c>
    </row>
    <row r="115" spans="1:5" x14ac:dyDescent="0.2">
      <c r="A115" s="1">
        <v>2244</v>
      </c>
      <c r="B115" s="1" t="s">
        <v>140</v>
      </c>
      <c r="C115" s="5">
        <v>0</v>
      </c>
      <c r="D115" s="4">
        <v>0</v>
      </c>
      <c r="E115" s="4">
        <v>0</v>
      </c>
    </row>
    <row r="116" spans="1:5" x14ac:dyDescent="0.2">
      <c r="A116" s="1">
        <v>2245</v>
      </c>
      <c r="B116" s="1" t="s">
        <v>141</v>
      </c>
      <c r="C116" s="5">
        <v>0</v>
      </c>
      <c r="D116" s="4">
        <v>0</v>
      </c>
      <c r="E116" s="4">
        <v>0</v>
      </c>
    </row>
    <row r="117" spans="1:5" x14ac:dyDescent="0.2">
      <c r="A117" s="1">
        <v>2246</v>
      </c>
      <c r="B117" s="1" t="s">
        <v>142</v>
      </c>
      <c r="C117" s="5">
        <v>0</v>
      </c>
      <c r="D117" s="4">
        <v>0</v>
      </c>
      <c r="E117" s="4">
        <v>0</v>
      </c>
    </row>
    <row r="118" spans="1:5" x14ac:dyDescent="0.2">
      <c r="A118" s="1">
        <v>2247</v>
      </c>
      <c r="B118" s="1" t="s">
        <v>143</v>
      </c>
      <c r="C118" s="5">
        <v>0</v>
      </c>
      <c r="D118" s="4">
        <v>0</v>
      </c>
      <c r="E118" s="4">
        <v>0</v>
      </c>
    </row>
    <row r="119" spans="1:5" x14ac:dyDescent="0.2">
      <c r="A119" s="1">
        <v>2248</v>
      </c>
      <c r="B119" s="1" t="s">
        <v>144</v>
      </c>
      <c r="C119" s="5">
        <v>0</v>
      </c>
      <c r="D119" s="4">
        <v>0</v>
      </c>
      <c r="E119" s="4">
        <v>0</v>
      </c>
    </row>
    <row r="120" spans="1:5" x14ac:dyDescent="0.2">
      <c r="A120" s="1">
        <v>2249</v>
      </c>
      <c r="B120" s="1" t="s">
        <v>145</v>
      </c>
      <c r="C120" s="5">
        <v>0</v>
      </c>
      <c r="D120" s="4">
        <v>0</v>
      </c>
      <c r="E120" s="4">
        <v>0</v>
      </c>
    </row>
    <row r="121" spans="1:5" x14ac:dyDescent="0.2">
      <c r="A121" s="1">
        <v>2250</v>
      </c>
      <c r="B121" s="1" t="s">
        <v>146</v>
      </c>
      <c r="C121" s="5">
        <v>0</v>
      </c>
      <c r="D121" s="4">
        <v>0</v>
      </c>
      <c r="E121" s="4">
        <v>0</v>
      </c>
    </row>
    <row r="122" spans="1:5" x14ac:dyDescent="0.2">
      <c r="A122" s="1">
        <v>2251</v>
      </c>
      <c r="B122" s="1" t="s">
        <v>147</v>
      </c>
      <c r="C122" s="5">
        <v>0</v>
      </c>
      <c r="D122" s="4">
        <v>0</v>
      </c>
      <c r="E122" s="4">
        <v>0</v>
      </c>
    </row>
    <row r="123" spans="1:5" x14ac:dyDescent="0.2">
      <c r="A123" s="1">
        <v>2252</v>
      </c>
      <c r="B123" s="1" t="s">
        <v>148</v>
      </c>
      <c r="C123" s="5">
        <v>0</v>
      </c>
      <c r="D123" s="4">
        <v>0</v>
      </c>
      <c r="E123" s="4">
        <v>0</v>
      </c>
    </row>
    <row r="124" spans="1:5" x14ac:dyDescent="0.2">
      <c r="A124" s="1">
        <v>2253</v>
      </c>
      <c r="B124" s="1" t="s">
        <v>149</v>
      </c>
      <c r="C124" s="5">
        <v>0</v>
      </c>
      <c r="D124" s="4">
        <v>0</v>
      </c>
      <c r="E124" s="4">
        <v>0</v>
      </c>
    </row>
    <row r="125" spans="1:5" x14ac:dyDescent="0.2">
      <c r="A125" s="1">
        <v>2254</v>
      </c>
      <c r="B125" s="1" t="s">
        <v>150</v>
      </c>
      <c r="C125" s="5">
        <v>0</v>
      </c>
      <c r="D125" s="4">
        <v>0</v>
      </c>
      <c r="E125" s="4">
        <v>0</v>
      </c>
    </row>
    <row r="126" spans="1:5" x14ac:dyDescent="0.2">
      <c r="A126" s="1">
        <v>2255</v>
      </c>
      <c r="B126" s="1" t="s">
        <v>151</v>
      </c>
      <c r="C126" s="5">
        <v>0</v>
      </c>
      <c r="D126" s="4">
        <v>0</v>
      </c>
      <c r="E126" s="4">
        <v>0</v>
      </c>
    </row>
    <row r="127" spans="1:5" x14ac:dyDescent="0.2">
      <c r="A127" s="1">
        <v>2256</v>
      </c>
      <c r="B127" s="1" t="s">
        <v>152</v>
      </c>
      <c r="C127" s="5">
        <v>317</v>
      </c>
      <c r="D127" s="4">
        <v>854.15</v>
      </c>
      <c r="E127" s="4">
        <v>31.7</v>
      </c>
    </row>
    <row r="128" spans="1:5" x14ac:dyDescent="0.2">
      <c r="A128" s="1">
        <v>2257</v>
      </c>
      <c r="B128" s="1" t="s">
        <v>153</v>
      </c>
      <c r="C128" s="5">
        <v>0</v>
      </c>
      <c r="D128" s="4">
        <v>0</v>
      </c>
      <c r="E128" s="4">
        <v>0</v>
      </c>
    </row>
    <row r="129" spans="1:5" x14ac:dyDescent="0.2">
      <c r="A129" s="1">
        <v>2258</v>
      </c>
      <c r="B129" s="1" t="s">
        <v>154</v>
      </c>
      <c r="C129" s="5">
        <v>0</v>
      </c>
      <c r="D129" s="4">
        <v>0</v>
      </c>
      <c r="E129" s="4">
        <v>0</v>
      </c>
    </row>
    <row r="130" spans="1:5" x14ac:dyDescent="0.2">
      <c r="A130" s="1">
        <v>2259</v>
      </c>
      <c r="B130" s="1" t="s">
        <v>155</v>
      </c>
      <c r="C130" s="5">
        <v>0</v>
      </c>
      <c r="D130" s="4">
        <v>0</v>
      </c>
      <c r="E130" s="4">
        <v>0</v>
      </c>
    </row>
    <row r="131" spans="1:5" x14ac:dyDescent="0.2">
      <c r="A131" s="1">
        <v>2260</v>
      </c>
      <c r="B131" s="1" t="s">
        <v>156</v>
      </c>
      <c r="C131" s="5">
        <v>0</v>
      </c>
      <c r="D131" s="4">
        <v>0</v>
      </c>
      <c r="E131" s="4">
        <v>0</v>
      </c>
    </row>
    <row r="132" spans="1:5" x14ac:dyDescent="0.2">
      <c r="A132" s="1">
        <v>2261</v>
      </c>
      <c r="B132" s="1" t="s">
        <v>157</v>
      </c>
      <c r="C132" s="5">
        <v>0</v>
      </c>
      <c r="D132" s="4">
        <v>0</v>
      </c>
      <c r="E132" s="4">
        <v>0</v>
      </c>
    </row>
    <row r="133" spans="1:5" x14ac:dyDescent="0.2">
      <c r="A133" s="1">
        <v>2262</v>
      </c>
      <c r="B133" s="1" t="s">
        <v>158</v>
      </c>
      <c r="C133" s="5">
        <v>2</v>
      </c>
      <c r="D133" s="4">
        <v>2.75</v>
      </c>
      <c r="E133" s="4">
        <v>0.2</v>
      </c>
    </row>
    <row r="134" spans="1:5" x14ac:dyDescent="0.2">
      <c r="A134" s="1">
        <v>2263</v>
      </c>
      <c r="B134" s="1" t="s">
        <v>159</v>
      </c>
      <c r="C134" s="5">
        <v>0</v>
      </c>
      <c r="D134" s="4">
        <v>0</v>
      </c>
      <c r="E134" s="4">
        <v>0</v>
      </c>
    </row>
    <row r="135" spans="1:5" x14ac:dyDescent="0.2">
      <c r="A135" s="1">
        <v>2264</v>
      </c>
      <c r="B135" s="1" t="s">
        <v>160</v>
      </c>
      <c r="C135" s="5">
        <v>0</v>
      </c>
      <c r="D135" s="4">
        <v>0</v>
      </c>
      <c r="E135" s="4">
        <v>0</v>
      </c>
    </row>
    <row r="136" spans="1:5" x14ac:dyDescent="0.2">
      <c r="A136" s="1">
        <v>2265</v>
      </c>
      <c r="B136" s="1" t="s">
        <v>161</v>
      </c>
      <c r="C136" s="5">
        <v>0</v>
      </c>
      <c r="D136" s="4">
        <v>0</v>
      </c>
      <c r="E136" s="4">
        <v>0</v>
      </c>
    </row>
    <row r="137" spans="1:5" x14ac:dyDescent="0.2">
      <c r="A137" s="1">
        <v>2266</v>
      </c>
      <c r="B137" s="1" t="s">
        <v>162</v>
      </c>
      <c r="C137" s="5">
        <v>0</v>
      </c>
      <c r="D137" s="4">
        <v>0</v>
      </c>
      <c r="E137" s="4">
        <v>0</v>
      </c>
    </row>
    <row r="138" spans="1:5" x14ac:dyDescent="0.2">
      <c r="A138" s="1">
        <v>2267</v>
      </c>
      <c r="B138" s="1" t="s">
        <v>163</v>
      </c>
      <c r="C138" s="5">
        <v>0</v>
      </c>
      <c r="D138" s="4">
        <v>0</v>
      </c>
      <c r="E138" s="4">
        <v>0</v>
      </c>
    </row>
    <row r="139" spans="1:5" x14ac:dyDescent="0.2">
      <c r="A139" s="1">
        <v>2268</v>
      </c>
      <c r="B139" s="1" t="s">
        <v>164</v>
      </c>
      <c r="C139" s="5">
        <v>0</v>
      </c>
      <c r="D139" s="4">
        <v>0</v>
      </c>
      <c r="E139" s="4">
        <v>0</v>
      </c>
    </row>
    <row r="140" spans="1:5" x14ac:dyDescent="0.2">
      <c r="A140" s="1">
        <v>2269</v>
      </c>
      <c r="B140" s="1" t="s">
        <v>165</v>
      </c>
      <c r="C140" s="5">
        <v>0</v>
      </c>
      <c r="D140" s="4">
        <v>0</v>
      </c>
      <c r="E140" s="4">
        <v>0</v>
      </c>
    </row>
    <row r="141" spans="1:5" x14ac:dyDescent="0.2">
      <c r="A141" s="1">
        <v>2270</v>
      </c>
      <c r="B141" s="1" t="s">
        <v>166</v>
      </c>
      <c r="C141" s="5">
        <v>0</v>
      </c>
      <c r="D141" s="4">
        <v>0</v>
      </c>
      <c r="E141" s="4">
        <v>0</v>
      </c>
    </row>
    <row r="142" spans="1:5" x14ac:dyDescent="0.2">
      <c r="A142" s="1">
        <v>3901</v>
      </c>
      <c r="B142" s="1" t="s">
        <v>3</v>
      </c>
      <c r="C142" s="5">
        <v>0</v>
      </c>
      <c r="D142" s="4">
        <v>0</v>
      </c>
      <c r="E142" s="4">
        <v>0</v>
      </c>
    </row>
    <row r="143" spans="1:5" x14ac:dyDescent="0.2">
      <c r="A143" s="1" t="s">
        <v>167</v>
      </c>
      <c r="C143" s="5">
        <f>SUM(C37:C142)</f>
        <v>388</v>
      </c>
      <c r="D143" s="4">
        <f>SUM(D37:D142)</f>
        <v>1001.5</v>
      </c>
      <c r="E143" s="4">
        <f>SUM(E37:E142)</f>
        <v>38.800000000000004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3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2026-04-06T12:36:24Z</dcterms:created>
  <dcterms:modified xsi:type="dcterms:W3CDTF">2026-04-06T12:38:38Z</dcterms:modified>
</cp:coreProperties>
</file>