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E156CC0C-1823-FD4B-9D26-5D60321A162E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Parcel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J43" i="1" s="1"/>
  <c r="K16" i="1"/>
  <c r="K43" i="1" s="1"/>
  <c r="J16" i="1"/>
</calcChain>
</file>

<file path=xl/sharedStrings.xml><?xml version="1.0" encoding="utf-8"?>
<sst xmlns="http://schemas.openxmlformats.org/spreadsheetml/2006/main" count="63" uniqueCount="49">
  <si>
    <t>03-Apr-2026</t>
  </si>
  <si>
    <t>Blue Cross Blue Shield -EFD</t>
  </si>
  <si>
    <t>Weight</t>
  </si>
  <si>
    <t>Priority Zone 1</t>
  </si>
  <si>
    <t>EFD Price Zone 1</t>
  </si>
  <si>
    <t>Count</t>
  </si>
  <si>
    <t>Priority Zone 3</t>
  </si>
  <si>
    <t>EFD Price Zone 3</t>
  </si>
  <si>
    <t>Costs</t>
  </si>
  <si>
    <t>Savings</t>
  </si>
  <si>
    <t>Priority Zone 2</t>
  </si>
  <si>
    <t>EFD Price Zone 2</t>
  </si>
  <si>
    <t>Priority Zone 4</t>
  </si>
  <si>
    <t>EFD Price Zone 4</t>
  </si>
  <si>
    <t>Priority Zone 5</t>
  </si>
  <si>
    <t>EFD Price Zone 5</t>
  </si>
  <si>
    <t>Priority Zone 6</t>
  </si>
  <si>
    <t>EFD Price Zone 6</t>
  </si>
  <si>
    <t>Priority Zone 7</t>
  </si>
  <si>
    <t>EFD Price Zone 7</t>
  </si>
  <si>
    <t>Priority Zone 8</t>
  </si>
  <si>
    <t>EFD Price Zone 8</t>
  </si>
  <si>
    <t>1 lb</t>
  </si>
  <si>
    <t>2 lb</t>
  </si>
  <si>
    <t>3 lb</t>
  </si>
  <si>
    <t>4 lb</t>
  </si>
  <si>
    <t>5 lb</t>
  </si>
  <si>
    <t>6 lb</t>
  </si>
  <si>
    <t>7 lb</t>
  </si>
  <si>
    <t>8 lb</t>
  </si>
  <si>
    <t>9 lb</t>
  </si>
  <si>
    <t>10 lb</t>
  </si>
  <si>
    <t>Total Pieces: 113</t>
  </si>
  <si>
    <t>A2810</t>
  </si>
  <si>
    <t>B2810</t>
  </si>
  <si>
    <t>C2430</t>
  </si>
  <si>
    <t>G4420</t>
  </si>
  <si>
    <t>A4660</t>
  </si>
  <si>
    <t>B4660</t>
  </si>
  <si>
    <t>D4660</t>
  </si>
  <si>
    <t>C8230</t>
  </si>
  <si>
    <t>Total Pieces</t>
  </si>
  <si>
    <t>Total $</t>
  </si>
  <si>
    <t>Total Savings</t>
  </si>
  <si>
    <t xml:space="preserve">Count </t>
  </si>
  <si>
    <t xml:space="preserve">lbs. </t>
  </si>
  <si>
    <t xml:space="preserve">Zone </t>
  </si>
  <si>
    <t xml:space="preserve">Base </t>
  </si>
  <si>
    <t xml:space="preserve">EFD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</si>
</sst>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sz val="10"/>
      <color indexed="1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D6F5F5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C00000"/>
      </patternFill>
    </fill>
    <fill>
      <patternFill patternType="solid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/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0" fillId="0" borderId="1" xfId="0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0" fontId="0" fillId="0" borderId="1" xfId="0" applyBorder="1" applyAlignment="1">
      <alignment horizontal="right"/>
    </xf>
    <xf numFmtId="164" fontId="0" fillId="5" borderId="1" xfId="0" applyNumberFormat="1" applyFill="1" applyBorder="1"/>
    <xf numFmtId="164" fontId="0" fillId="6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164" fontId="4" fillId="7" borderId="1" xfId="0" applyNumberFormat="1" applyFont="1" applyFill="1" applyBorder="1"/>
    <xf numFmtId="164" fontId="4" fillId="8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38" fontId="6" fillId="9" borderId="3" xfId="0" applyNumberFormat="1" applyFont="1" applyFill="1" applyBorder="1" applyAlignment="1">
      <alignment horizontal="right"/>
    </xf>
    <xf numFmtId="4" fontId="6" fillId="9" borderId="3" xfId="0" applyNumberFormat="1" applyFont="1" applyFill="1" applyBorder="1" applyAlignment="1">
      <alignment horizontal="right"/>
    </xf>
    <xf numFmtId="8" fontId="5" fillId="0" borderId="2" xfId="0" applyNumberFormat="1" applyFont="1" applyBorder="1"/>
    <xf numFmtId="0" fontId="5" fillId="0" borderId="4" xfId="0" applyFont="1" applyBorder="1" applyAlignment="1">
      <alignment horizontal="center"/>
    </xf>
    <xf numFmtId="38" fontId="6" fillId="9" borderId="5" xfId="0" applyNumberFormat="1" applyFont="1" applyFill="1" applyBorder="1" applyAlignment="1">
      <alignment horizontal="right"/>
    </xf>
    <xf numFmtId="4" fontId="6" fillId="9" borderId="5" xfId="0" applyNumberFormat="1" applyFont="1" applyFill="1" applyBorder="1" applyAlignment="1">
      <alignment horizontal="right"/>
    </xf>
    <xf numFmtId="8" fontId="5" fillId="0" borderId="6" xfId="0" applyNumberFormat="1" applyFont="1" applyBorder="1"/>
    <xf numFmtId="38" fontId="6" fillId="9" borderId="7" xfId="0" applyNumberFormat="1" applyFont="1" applyFill="1" applyBorder="1" applyAlignment="1">
      <alignment horizontal="right"/>
    </xf>
    <xf numFmtId="4" fontId="6" fillId="9" borderId="7" xfId="0" applyNumberFormat="1" applyFont="1" applyFill="1" applyBorder="1" applyAlignment="1">
      <alignment horizontal="right"/>
    </xf>
    <xf numFmtId="8" fontId="5" fillId="0" borderId="4" xfId="0" applyNumberFormat="1" applyFont="1" applyBorder="1"/>
    <xf numFmtId="0" fontId="5" fillId="0" borderId="8" xfId="0" applyFont="1" applyBorder="1" applyAlignment="1">
      <alignment horizontal="center"/>
    </xf>
    <xf numFmtId="38" fontId="6" fillId="9" borderId="6" xfId="0" applyNumberFormat="1" applyFont="1" applyFill="1" applyBorder="1" applyAlignment="1">
      <alignment horizontal="right"/>
    </xf>
    <xf numFmtId="0" fontId="7" fillId="0" borderId="0" xfId="0" applyFont="1"/>
    <xf numFmtId="38" fontId="8" fillId="0" borderId="0" xfId="0" applyNumberFormat="1" applyFont="1"/>
    <xf numFmtId="8" fontId="8" fillId="0" borderId="0" xfId="0" applyNumberFormat="1" applyFont="1"/>
    <xf numFmtId="0" fontId="9" fillId="0" borderId="6" xfId="0" applyFont="1" applyBorder="1"/>
    <xf numFmtId="0" fontId="10" fillId="10" borderId="6" xfId="0" applyFont="1" applyFill="1" applyBorder="1"/>
    <xf numFmtId="0" fontId="10" fillId="11" borderId="6" xfId="0" applyFont="1" applyFill="1" applyBorder="1"/>
    <xf numFmtId="0" fontId="8" fillId="0" borderId="2" xfId="0" applyFont="1" applyBorder="1"/>
    <xf numFmtId="0" fontId="10" fillId="0" borderId="3" xfId="0" applyFont="1" applyBorder="1"/>
    <xf numFmtId="8" fontId="11" fillId="9" borderId="2" xfId="0" applyNumberFormat="1" applyFont="1" applyFill="1" applyBorder="1"/>
    <xf numFmtId="0" fontId="10" fillId="0" borderId="4" xfId="0" applyFont="1" applyBorder="1"/>
    <xf numFmtId="0" fontId="11" fillId="9" borderId="2" xfId="0" applyFont="1" applyFill="1" applyBorder="1" applyAlignment="1">
      <alignment horizontal="center"/>
    </xf>
    <xf numFmtId="8" fontId="10" fillId="0" borderId="4" xfId="0" applyNumberFormat="1" applyFont="1" applyBorder="1"/>
    <xf numFmtId="0" fontId="7" fillId="0" borderId="9" xfId="0" applyFont="1" applyBorder="1"/>
    <xf numFmtId="0" fontId="7" fillId="0" borderId="10" xfId="0" applyFont="1" applyBorder="1"/>
    <xf numFmtId="8" fontId="12" fillId="9" borderId="10" xfId="0" applyNumberFormat="1" applyFont="1" applyFill="1" applyBorder="1"/>
    <xf numFmtId="8" fontId="10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9"/>
  <sheetViews>
    <sheetView tabSelected="1" workbookViewId="0">
      <selection activeCell="F15" sqref="F15:K43"/>
    </sheetView>
  </sheetViews>
  <sheetFormatPr baseColWidth="10" defaultColWidth="8.83203125" defaultRowHeight="15" x14ac:dyDescent="0.2"/>
  <cols>
    <col min="1" max="1" width="10" customWidth="1"/>
    <col min="2" max="8" width="11" customWidth="1"/>
    <col min="9" max="9" width="11.6640625" bestFit="1" customWidth="1"/>
    <col min="10" max="10" width="13.33203125" bestFit="1" customWidth="1"/>
    <col min="11" max="33" width="11" customWidth="1"/>
  </cols>
  <sheetData>
    <row r="1" spans="1:33" ht="18" x14ac:dyDescent="0.2">
      <c r="A1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29" x14ac:dyDescent="0.2">
      <c r="A2" s="1" t="s">
        <v>2</v>
      </c>
      <c r="B2" s="2" t="s">
        <v>3</v>
      </c>
      <c r="C2" s="3" t="s">
        <v>4</v>
      </c>
      <c r="D2" s="4" t="s">
        <v>5</v>
      </c>
      <c r="E2" s="2" t="s">
        <v>6</v>
      </c>
      <c r="F2" s="3" t="s">
        <v>7</v>
      </c>
      <c r="G2" s="4" t="s">
        <v>5</v>
      </c>
      <c r="H2" s="5" t="s">
        <v>8</v>
      </c>
      <c r="I2" s="6" t="s">
        <v>9</v>
      </c>
      <c r="J2" s="2" t="s">
        <v>10</v>
      </c>
      <c r="K2" s="3" t="s">
        <v>11</v>
      </c>
      <c r="L2" s="4" t="s">
        <v>5</v>
      </c>
      <c r="M2" s="2" t="s">
        <v>12</v>
      </c>
      <c r="N2" s="3" t="s">
        <v>13</v>
      </c>
      <c r="O2" s="4" t="s">
        <v>5</v>
      </c>
      <c r="P2" s="5" t="s">
        <v>8</v>
      </c>
      <c r="Q2" s="6" t="s">
        <v>9</v>
      </c>
      <c r="R2" s="2" t="s">
        <v>14</v>
      </c>
      <c r="S2" s="3" t="s">
        <v>15</v>
      </c>
      <c r="T2" s="4" t="s">
        <v>5</v>
      </c>
      <c r="U2" s="2" t="s">
        <v>16</v>
      </c>
      <c r="V2" s="3" t="s">
        <v>17</v>
      </c>
      <c r="W2" s="4" t="s">
        <v>5</v>
      </c>
      <c r="X2" s="5" t="s">
        <v>8</v>
      </c>
      <c r="Y2" s="6" t="s">
        <v>9</v>
      </c>
      <c r="Z2" s="2" t="s">
        <v>18</v>
      </c>
      <c r="AA2" s="3" t="s">
        <v>19</v>
      </c>
      <c r="AB2" s="4" t="s">
        <v>5</v>
      </c>
      <c r="AC2" s="2" t="s">
        <v>20</v>
      </c>
      <c r="AD2" s="3" t="s">
        <v>21</v>
      </c>
      <c r="AE2" s="4" t="s">
        <v>5</v>
      </c>
      <c r="AF2" s="5" t="s">
        <v>8</v>
      </c>
      <c r="AG2" s="6" t="s">
        <v>9</v>
      </c>
    </row>
    <row r="3" spans="1:33" x14ac:dyDescent="0.2">
      <c r="A3" s="7" t="s">
        <v>22</v>
      </c>
      <c r="B3" s="8">
        <v>10.199999999999999</v>
      </c>
      <c r="C3" s="9">
        <v>10.15</v>
      </c>
      <c r="D3" s="10">
        <v>1</v>
      </c>
      <c r="E3" s="8">
        <v>10.8</v>
      </c>
      <c r="F3" s="9">
        <v>10.55</v>
      </c>
      <c r="G3" s="10">
        <v>31</v>
      </c>
      <c r="H3" s="11">
        <v>337.2</v>
      </c>
      <c r="I3" s="12">
        <v>7.8</v>
      </c>
      <c r="J3" s="8">
        <v>10.65</v>
      </c>
      <c r="K3" s="9">
        <v>10.4</v>
      </c>
      <c r="L3" s="10">
        <v>25</v>
      </c>
      <c r="M3" s="8">
        <v>11</v>
      </c>
      <c r="N3" s="9">
        <v>10.75</v>
      </c>
      <c r="O3" s="10">
        <v>10</v>
      </c>
      <c r="P3" s="11">
        <v>367.5</v>
      </c>
      <c r="Q3" s="12">
        <v>8.75</v>
      </c>
      <c r="R3" s="8">
        <v>12.1</v>
      </c>
      <c r="S3" s="9">
        <v>11.85</v>
      </c>
      <c r="T3" s="10">
        <v>1</v>
      </c>
      <c r="U3" s="8">
        <v>13.3</v>
      </c>
      <c r="V3" s="9">
        <v>13.05</v>
      </c>
      <c r="W3" s="10">
        <v>0</v>
      </c>
      <c r="X3" s="11">
        <v>11.85</v>
      </c>
      <c r="Y3" s="12">
        <v>0.25</v>
      </c>
      <c r="Z3" s="8">
        <v>14.45</v>
      </c>
      <c r="AA3" s="9">
        <v>14.2</v>
      </c>
      <c r="AB3" s="10">
        <v>0</v>
      </c>
      <c r="AC3" s="8">
        <v>15.7</v>
      </c>
      <c r="AD3" s="9">
        <v>15.45</v>
      </c>
      <c r="AE3" s="10">
        <v>0</v>
      </c>
      <c r="AF3" s="13"/>
      <c r="AG3" s="14"/>
    </row>
    <row r="4" spans="1:33" x14ac:dyDescent="0.2">
      <c r="A4" s="7" t="s">
        <v>23</v>
      </c>
      <c r="B4" s="8">
        <v>11.05</v>
      </c>
      <c r="C4" s="9">
        <v>10.8</v>
      </c>
      <c r="D4" s="10">
        <v>1</v>
      </c>
      <c r="E4" s="8">
        <v>12.45</v>
      </c>
      <c r="F4" s="9">
        <v>12.2</v>
      </c>
      <c r="G4" s="10">
        <v>10</v>
      </c>
      <c r="H4" s="11">
        <v>132.80000000000001</v>
      </c>
      <c r="I4" s="12">
        <v>2.75</v>
      </c>
      <c r="J4" s="8">
        <v>11.7</v>
      </c>
      <c r="K4" s="9">
        <v>11.45</v>
      </c>
      <c r="L4" s="10">
        <v>5</v>
      </c>
      <c r="M4" s="8">
        <v>13.3</v>
      </c>
      <c r="N4" s="9">
        <v>13.05</v>
      </c>
      <c r="O4" s="10">
        <v>4</v>
      </c>
      <c r="P4" s="11">
        <v>109.45</v>
      </c>
      <c r="Q4" s="12">
        <v>2.25</v>
      </c>
      <c r="R4" s="8">
        <v>15.6</v>
      </c>
      <c r="S4" s="9">
        <v>15.35</v>
      </c>
      <c r="T4" s="10">
        <v>0</v>
      </c>
      <c r="U4" s="8">
        <v>16.8</v>
      </c>
      <c r="V4" s="9">
        <v>16.55</v>
      </c>
      <c r="W4" s="10">
        <v>0</v>
      </c>
      <c r="X4" s="13"/>
      <c r="Y4" s="14"/>
      <c r="Z4" s="8">
        <v>18</v>
      </c>
      <c r="AA4" s="9">
        <v>17.75</v>
      </c>
      <c r="AB4" s="10">
        <v>0</v>
      </c>
      <c r="AC4" s="8">
        <v>19.95</v>
      </c>
      <c r="AD4" s="9">
        <v>19.7</v>
      </c>
      <c r="AE4" s="10">
        <v>0</v>
      </c>
      <c r="AF4" s="13"/>
      <c r="AG4" s="14"/>
    </row>
    <row r="5" spans="1:33" x14ac:dyDescent="0.2">
      <c r="A5" s="7" t="s">
        <v>24</v>
      </c>
      <c r="B5" s="8">
        <v>11.55</v>
      </c>
      <c r="C5" s="9">
        <v>11.3</v>
      </c>
      <c r="D5" s="10">
        <v>0</v>
      </c>
      <c r="E5" s="8">
        <v>12.95</v>
      </c>
      <c r="F5" s="9">
        <v>12.7</v>
      </c>
      <c r="G5" s="10">
        <v>4</v>
      </c>
      <c r="H5" s="11">
        <v>50.8</v>
      </c>
      <c r="I5" s="12">
        <v>1</v>
      </c>
      <c r="J5" s="8">
        <v>12.3</v>
      </c>
      <c r="K5" s="9">
        <v>12.05</v>
      </c>
      <c r="L5" s="10">
        <v>3</v>
      </c>
      <c r="M5" s="8">
        <v>14.05</v>
      </c>
      <c r="N5" s="9">
        <v>13.8</v>
      </c>
      <c r="O5" s="10">
        <v>4</v>
      </c>
      <c r="P5" s="11">
        <v>91.35</v>
      </c>
      <c r="Q5" s="12">
        <v>1.75</v>
      </c>
      <c r="R5" s="8">
        <v>16.7</v>
      </c>
      <c r="S5" s="9">
        <v>16.45</v>
      </c>
      <c r="T5" s="10">
        <v>0</v>
      </c>
      <c r="U5" s="8">
        <v>19.399999999999999</v>
      </c>
      <c r="V5" s="9">
        <v>19.149999999999999</v>
      </c>
      <c r="W5" s="10">
        <v>0</v>
      </c>
      <c r="X5" s="13"/>
      <c r="Y5" s="14"/>
      <c r="Z5" s="8">
        <v>22.1</v>
      </c>
      <c r="AA5" s="9">
        <v>21.85</v>
      </c>
      <c r="AB5" s="10">
        <v>0</v>
      </c>
      <c r="AC5" s="8">
        <v>25.1</v>
      </c>
      <c r="AD5" s="9">
        <v>24.85</v>
      </c>
      <c r="AE5" s="10">
        <v>0</v>
      </c>
      <c r="AF5" s="13"/>
      <c r="AG5" s="14"/>
    </row>
    <row r="6" spans="1:33" x14ac:dyDescent="0.2">
      <c r="A6" s="7" t="s">
        <v>25</v>
      </c>
      <c r="B6" s="8">
        <v>12.45</v>
      </c>
      <c r="C6" s="9">
        <v>12.2</v>
      </c>
      <c r="D6" s="10">
        <v>0</v>
      </c>
      <c r="E6" s="8">
        <v>13.95</v>
      </c>
      <c r="F6" s="9">
        <v>13.7</v>
      </c>
      <c r="G6" s="10">
        <v>2</v>
      </c>
      <c r="H6" s="11">
        <v>27.4</v>
      </c>
      <c r="I6" s="12">
        <v>0.5</v>
      </c>
      <c r="J6" s="8">
        <v>13</v>
      </c>
      <c r="K6" s="9">
        <v>12.75</v>
      </c>
      <c r="L6" s="10">
        <v>2</v>
      </c>
      <c r="M6" s="8">
        <v>15.15</v>
      </c>
      <c r="N6" s="9">
        <v>14.9</v>
      </c>
      <c r="O6" s="10">
        <v>0</v>
      </c>
      <c r="P6" s="11">
        <v>25.5</v>
      </c>
      <c r="Q6" s="12">
        <v>0.5</v>
      </c>
      <c r="R6" s="8">
        <v>19.2</v>
      </c>
      <c r="S6" s="9">
        <v>18.95</v>
      </c>
      <c r="T6" s="10">
        <v>0</v>
      </c>
      <c r="U6" s="8">
        <v>23.45</v>
      </c>
      <c r="V6" s="9">
        <v>23.2</v>
      </c>
      <c r="W6" s="10">
        <v>0</v>
      </c>
      <c r="X6" s="13"/>
      <c r="Y6" s="14"/>
      <c r="Z6" s="8">
        <v>26.3</v>
      </c>
      <c r="AA6" s="9">
        <v>26.05</v>
      </c>
      <c r="AB6" s="10">
        <v>0</v>
      </c>
      <c r="AC6" s="8">
        <v>29.5</v>
      </c>
      <c r="AD6" s="9">
        <v>29.25</v>
      </c>
      <c r="AE6" s="10">
        <v>0</v>
      </c>
      <c r="AF6" s="13"/>
      <c r="AG6" s="14"/>
    </row>
    <row r="7" spans="1:33" x14ac:dyDescent="0.2">
      <c r="A7" s="7" t="s">
        <v>26</v>
      </c>
      <c r="B7" s="8">
        <v>13.25</v>
      </c>
      <c r="C7" s="9">
        <v>13</v>
      </c>
      <c r="D7" s="10">
        <v>0</v>
      </c>
      <c r="E7" s="8">
        <v>14.85</v>
      </c>
      <c r="F7" s="9">
        <v>14.6</v>
      </c>
      <c r="G7" s="10">
        <v>0</v>
      </c>
      <c r="H7" s="13"/>
      <c r="I7" s="14"/>
      <c r="J7" s="8">
        <v>13.85</v>
      </c>
      <c r="K7" s="9">
        <v>13.6</v>
      </c>
      <c r="L7" s="10">
        <v>1</v>
      </c>
      <c r="M7" s="8">
        <v>16.2</v>
      </c>
      <c r="N7" s="9">
        <v>15.95</v>
      </c>
      <c r="O7" s="10">
        <v>0</v>
      </c>
      <c r="P7" s="11">
        <v>13.6</v>
      </c>
      <c r="Q7" s="12">
        <v>0.25</v>
      </c>
      <c r="R7" s="8">
        <v>20.45</v>
      </c>
      <c r="S7" s="9">
        <v>20.2</v>
      </c>
      <c r="T7" s="10">
        <v>0</v>
      </c>
      <c r="U7" s="8">
        <v>25</v>
      </c>
      <c r="V7" s="9">
        <v>24.75</v>
      </c>
      <c r="W7" s="10">
        <v>0</v>
      </c>
      <c r="X7" s="13"/>
      <c r="Y7" s="14"/>
      <c r="Z7" s="8">
        <v>30.3</v>
      </c>
      <c r="AA7" s="9">
        <v>30.05</v>
      </c>
      <c r="AB7" s="10">
        <v>0</v>
      </c>
      <c r="AC7" s="8">
        <v>34.15</v>
      </c>
      <c r="AD7" s="9">
        <v>33.9</v>
      </c>
      <c r="AE7" s="10">
        <v>0</v>
      </c>
      <c r="AF7" s="13"/>
      <c r="AG7" s="14"/>
    </row>
    <row r="8" spans="1:33" x14ac:dyDescent="0.2">
      <c r="A8" s="7" t="s">
        <v>27</v>
      </c>
      <c r="B8" s="8">
        <v>13.8</v>
      </c>
      <c r="C8" s="9">
        <v>13.55</v>
      </c>
      <c r="D8" s="10">
        <v>0</v>
      </c>
      <c r="E8" s="8">
        <v>15.25</v>
      </c>
      <c r="F8" s="9">
        <v>15</v>
      </c>
      <c r="G8" s="10">
        <v>2</v>
      </c>
      <c r="H8" s="11">
        <v>30</v>
      </c>
      <c r="I8" s="12">
        <v>0.5</v>
      </c>
      <c r="J8" s="8">
        <v>14.2</v>
      </c>
      <c r="K8" s="9">
        <v>13.95</v>
      </c>
      <c r="L8" s="10">
        <v>0</v>
      </c>
      <c r="M8" s="8">
        <v>16.850000000000001</v>
      </c>
      <c r="N8" s="9">
        <v>16.600000000000001</v>
      </c>
      <c r="O8" s="10">
        <v>0</v>
      </c>
      <c r="P8" s="13"/>
      <c r="Q8" s="14"/>
      <c r="R8" s="8">
        <v>21.55</v>
      </c>
      <c r="S8" s="9">
        <v>21.3</v>
      </c>
      <c r="T8" s="10">
        <v>0</v>
      </c>
      <c r="U8" s="8">
        <v>27.45</v>
      </c>
      <c r="V8" s="9">
        <v>27.2</v>
      </c>
      <c r="W8" s="10">
        <v>0</v>
      </c>
      <c r="X8" s="13"/>
      <c r="Y8" s="14"/>
      <c r="Z8" s="8">
        <v>34.25</v>
      </c>
      <c r="AA8" s="9">
        <v>34</v>
      </c>
      <c r="AB8" s="10">
        <v>0</v>
      </c>
      <c r="AC8" s="8">
        <v>38.75</v>
      </c>
      <c r="AD8" s="9">
        <v>38.5</v>
      </c>
      <c r="AE8" s="10">
        <v>0</v>
      </c>
      <c r="AF8" s="13"/>
      <c r="AG8" s="14"/>
    </row>
    <row r="9" spans="1:33" x14ac:dyDescent="0.2">
      <c r="A9" s="7" t="s">
        <v>28</v>
      </c>
      <c r="B9" s="8">
        <v>14.4</v>
      </c>
      <c r="C9" s="9">
        <v>14.15</v>
      </c>
      <c r="D9" s="10">
        <v>0</v>
      </c>
      <c r="E9" s="8">
        <v>15.85</v>
      </c>
      <c r="F9" s="9">
        <v>15.6</v>
      </c>
      <c r="G9" s="10">
        <v>1</v>
      </c>
      <c r="H9" s="11">
        <v>15.6</v>
      </c>
      <c r="I9" s="12">
        <v>0.25</v>
      </c>
      <c r="J9" s="8">
        <v>14.85</v>
      </c>
      <c r="K9" s="9">
        <v>14.6</v>
      </c>
      <c r="L9" s="10">
        <v>0</v>
      </c>
      <c r="M9" s="8">
        <v>17.649999999999999</v>
      </c>
      <c r="N9" s="9">
        <v>17.399999999999999</v>
      </c>
      <c r="O9" s="10">
        <v>0</v>
      </c>
      <c r="P9" s="13"/>
      <c r="Q9" s="14"/>
      <c r="R9" s="8">
        <v>23.25</v>
      </c>
      <c r="S9" s="9">
        <v>23</v>
      </c>
      <c r="T9" s="10">
        <v>0</v>
      </c>
      <c r="U9" s="8">
        <v>29.9</v>
      </c>
      <c r="V9" s="9">
        <v>29.65</v>
      </c>
      <c r="W9" s="10">
        <v>0</v>
      </c>
      <c r="X9" s="13"/>
      <c r="Y9" s="14"/>
      <c r="Z9" s="8">
        <v>38.1</v>
      </c>
      <c r="AA9" s="9">
        <v>37.85</v>
      </c>
      <c r="AB9" s="10">
        <v>0</v>
      </c>
      <c r="AC9" s="8">
        <v>43.3</v>
      </c>
      <c r="AD9" s="9">
        <v>43.05</v>
      </c>
      <c r="AE9" s="10">
        <v>0</v>
      </c>
      <c r="AF9" s="13"/>
      <c r="AG9" s="14"/>
    </row>
    <row r="10" spans="1:33" x14ac:dyDescent="0.2">
      <c r="A10" s="7" t="s">
        <v>29</v>
      </c>
      <c r="B10" s="8">
        <v>15.05</v>
      </c>
      <c r="C10" s="9">
        <v>14.8</v>
      </c>
      <c r="D10" s="10">
        <v>0</v>
      </c>
      <c r="E10" s="8">
        <v>16.3</v>
      </c>
      <c r="F10" s="9">
        <v>16.05</v>
      </c>
      <c r="G10" s="10">
        <v>0</v>
      </c>
      <c r="H10" s="13"/>
      <c r="I10" s="14"/>
      <c r="J10" s="8">
        <v>15.3</v>
      </c>
      <c r="K10" s="9">
        <v>15.05</v>
      </c>
      <c r="L10" s="10">
        <v>0</v>
      </c>
      <c r="M10" s="8">
        <v>18.25</v>
      </c>
      <c r="N10" s="9">
        <v>18</v>
      </c>
      <c r="O10" s="10">
        <v>0</v>
      </c>
      <c r="P10" s="13"/>
      <c r="Q10" s="14"/>
      <c r="R10" s="8">
        <v>24.45</v>
      </c>
      <c r="S10" s="9">
        <v>24.2</v>
      </c>
      <c r="T10" s="10">
        <v>0</v>
      </c>
      <c r="U10" s="8">
        <v>32.5</v>
      </c>
      <c r="V10" s="9">
        <v>32.25</v>
      </c>
      <c r="W10" s="10">
        <v>0</v>
      </c>
      <c r="X10" s="13"/>
      <c r="Y10" s="14"/>
      <c r="Z10" s="8">
        <v>42</v>
      </c>
      <c r="AA10" s="9">
        <v>41.75</v>
      </c>
      <c r="AB10" s="10">
        <v>0</v>
      </c>
      <c r="AC10" s="8">
        <v>47.85</v>
      </c>
      <c r="AD10" s="9">
        <v>47.6</v>
      </c>
      <c r="AE10" s="10">
        <v>0</v>
      </c>
      <c r="AF10" s="13"/>
      <c r="AG10" s="14"/>
    </row>
    <row r="11" spans="1:33" x14ac:dyDescent="0.2">
      <c r="A11" s="7" t="s">
        <v>30</v>
      </c>
      <c r="B11" s="8">
        <v>15.6</v>
      </c>
      <c r="C11" s="9">
        <v>15.35</v>
      </c>
      <c r="D11" s="10">
        <v>0</v>
      </c>
      <c r="E11" s="8">
        <v>16.75</v>
      </c>
      <c r="F11" s="9">
        <v>16.5</v>
      </c>
      <c r="G11" s="10">
        <v>0</v>
      </c>
      <c r="H11" s="13"/>
      <c r="I11" s="14"/>
      <c r="J11" s="8">
        <v>15.9</v>
      </c>
      <c r="K11" s="9">
        <v>15.65</v>
      </c>
      <c r="L11" s="10">
        <v>0</v>
      </c>
      <c r="M11" s="8">
        <v>19.3</v>
      </c>
      <c r="N11" s="9">
        <v>19.05</v>
      </c>
      <c r="O11" s="10">
        <v>0</v>
      </c>
      <c r="P11" s="13"/>
      <c r="Q11" s="14"/>
      <c r="R11" s="8">
        <v>25.4</v>
      </c>
      <c r="S11" s="9">
        <v>25.15</v>
      </c>
      <c r="T11" s="10">
        <v>0</v>
      </c>
      <c r="U11" s="8">
        <v>34.9</v>
      </c>
      <c r="V11" s="9">
        <v>34.65</v>
      </c>
      <c r="W11" s="10">
        <v>0</v>
      </c>
      <c r="X11" s="13"/>
      <c r="Y11" s="14"/>
      <c r="Z11" s="8">
        <v>45.8</v>
      </c>
      <c r="AA11" s="9">
        <v>45.55</v>
      </c>
      <c r="AB11" s="10">
        <v>0</v>
      </c>
      <c r="AC11" s="8">
        <v>52.25</v>
      </c>
      <c r="AD11" s="9">
        <v>52</v>
      </c>
      <c r="AE11" s="10">
        <v>0</v>
      </c>
      <c r="AF11" s="13"/>
      <c r="AG11" s="14"/>
    </row>
    <row r="12" spans="1:33" x14ac:dyDescent="0.2">
      <c r="A12" s="7" t="s">
        <v>31</v>
      </c>
      <c r="B12" s="8">
        <v>16.5</v>
      </c>
      <c r="C12" s="9">
        <v>16.25</v>
      </c>
      <c r="D12" s="10">
        <v>0</v>
      </c>
      <c r="E12" s="8">
        <v>17.8</v>
      </c>
      <c r="F12" s="9">
        <v>17.55</v>
      </c>
      <c r="G12" s="10">
        <v>2</v>
      </c>
      <c r="H12" s="11">
        <v>35.1</v>
      </c>
      <c r="I12" s="12">
        <v>0.5</v>
      </c>
      <c r="J12" s="8">
        <v>16.899999999999999</v>
      </c>
      <c r="K12" s="9">
        <v>16.649999999999999</v>
      </c>
      <c r="L12" s="10">
        <v>2</v>
      </c>
      <c r="M12" s="8">
        <v>20.149999999999999</v>
      </c>
      <c r="N12" s="9">
        <v>19.899999999999999</v>
      </c>
      <c r="O12" s="10">
        <v>1</v>
      </c>
      <c r="P12" s="11">
        <v>53.2</v>
      </c>
      <c r="Q12" s="12">
        <v>0.75</v>
      </c>
      <c r="R12" s="8">
        <v>26.55</v>
      </c>
      <c r="S12" s="9">
        <v>26.3</v>
      </c>
      <c r="T12" s="10">
        <v>1</v>
      </c>
      <c r="U12" s="8">
        <v>37.6</v>
      </c>
      <c r="V12" s="9">
        <v>37.35</v>
      </c>
      <c r="W12" s="10">
        <v>0</v>
      </c>
      <c r="X12" s="11">
        <v>26.3</v>
      </c>
      <c r="Y12" s="12">
        <v>0.25</v>
      </c>
      <c r="Z12" s="8">
        <v>49.6</v>
      </c>
      <c r="AA12" s="9">
        <v>49.35</v>
      </c>
      <c r="AB12" s="10">
        <v>0</v>
      </c>
      <c r="AC12" s="8">
        <v>56.75</v>
      </c>
      <c r="AD12" s="9">
        <v>56.5</v>
      </c>
      <c r="AE12" s="10">
        <v>0</v>
      </c>
      <c r="AF12" s="13"/>
      <c r="AG12" s="14"/>
    </row>
    <row r="14" spans="1:33" ht="16" thickBot="1" x14ac:dyDescent="0.25">
      <c r="A14" s="19" t="s">
        <v>32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5">
        <v>1327.65</v>
      </c>
      <c r="AG14" s="16">
        <v>28.05</v>
      </c>
    </row>
    <row r="15" spans="1:33" ht="24" thickBot="1" x14ac:dyDescent="0.3">
      <c r="A15" s="20">
        <v>2150</v>
      </c>
      <c r="B15" s="21">
        <v>1</v>
      </c>
      <c r="C15" s="22">
        <v>10.15</v>
      </c>
      <c r="D15" s="23">
        <v>0.25</v>
      </c>
      <c r="F15" s="39" t="s">
        <v>44</v>
      </c>
      <c r="G15" s="40" t="s">
        <v>45</v>
      </c>
      <c r="H15" s="41" t="s">
        <v>46</v>
      </c>
      <c r="I15" s="41" t="s">
        <v>47</v>
      </c>
      <c r="J15" s="41" t="s">
        <v>48</v>
      </c>
      <c r="K15" s="41" t="s">
        <v>9</v>
      </c>
    </row>
    <row r="16" spans="1:33" ht="24" thickBot="1" x14ac:dyDescent="0.3">
      <c r="A16" s="24">
        <v>2240</v>
      </c>
      <c r="B16" s="21">
        <v>0</v>
      </c>
      <c r="C16" s="22">
        <v>0</v>
      </c>
      <c r="D16" s="23">
        <v>0</v>
      </c>
      <c r="F16" s="42">
        <v>1</v>
      </c>
      <c r="G16" s="40">
        <v>15</v>
      </c>
      <c r="H16" s="43">
        <v>2</v>
      </c>
      <c r="I16" s="41">
        <v>20.55</v>
      </c>
      <c r="J16" s="41">
        <f t="shared" ref="J16:J41" si="0">SUM(F16*I16)-(F16*0.25)</f>
        <v>20.3</v>
      </c>
      <c r="K16" s="44">
        <f t="shared" ref="K16:K42" si="1">SUM(F16*0.25)</f>
        <v>0.25</v>
      </c>
    </row>
    <row r="17" spans="1:11" ht="24" thickBot="1" x14ac:dyDescent="0.3">
      <c r="A17" s="24">
        <v>2260</v>
      </c>
      <c r="B17" s="21">
        <v>0</v>
      </c>
      <c r="C17" s="22">
        <v>0</v>
      </c>
      <c r="D17" s="23">
        <v>0</v>
      </c>
      <c r="F17" s="42">
        <v>1</v>
      </c>
      <c r="G17" s="40">
        <v>27</v>
      </c>
      <c r="H17" s="43">
        <v>2</v>
      </c>
      <c r="I17" s="41">
        <v>39.200000000000003</v>
      </c>
      <c r="J17" s="41">
        <f>SUM(F17*I17)-(F17*0.25)</f>
        <v>38.950000000000003</v>
      </c>
      <c r="K17" s="44">
        <f t="shared" si="1"/>
        <v>0.25</v>
      </c>
    </row>
    <row r="18" spans="1:11" ht="24" thickBot="1" x14ac:dyDescent="0.3">
      <c r="A18" s="24">
        <v>2280</v>
      </c>
      <c r="B18" s="21">
        <v>12</v>
      </c>
      <c r="C18" s="22">
        <v>131</v>
      </c>
      <c r="D18" s="23">
        <v>3</v>
      </c>
      <c r="F18" s="42">
        <v>1</v>
      </c>
      <c r="G18" s="40">
        <v>28</v>
      </c>
      <c r="H18" s="43">
        <v>2</v>
      </c>
      <c r="I18" s="41">
        <v>40.200000000000003</v>
      </c>
      <c r="J18" s="41">
        <f>SUM(F18*I18)-(F18*0.25)</f>
        <v>39.950000000000003</v>
      </c>
      <c r="K18" s="44">
        <f t="shared" si="1"/>
        <v>0.25</v>
      </c>
    </row>
    <row r="19" spans="1:11" ht="24" thickBot="1" x14ac:dyDescent="0.3">
      <c r="A19" s="24">
        <v>2370</v>
      </c>
      <c r="B19" s="21">
        <v>0</v>
      </c>
      <c r="C19" s="22">
        <v>0</v>
      </c>
      <c r="D19" s="23">
        <v>0</v>
      </c>
      <c r="F19" s="42">
        <v>1</v>
      </c>
      <c r="G19" s="40">
        <v>29</v>
      </c>
      <c r="H19" s="43">
        <v>2</v>
      </c>
      <c r="I19" s="41">
        <v>41.25</v>
      </c>
      <c r="J19" s="41">
        <f t="shared" si="0"/>
        <v>41</v>
      </c>
      <c r="K19" s="44">
        <f t="shared" si="1"/>
        <v>0.25</v>
      </c>
    </row>
    <row r="20" spans="1:11" ht="24" thickBot="1" x14ac:dyDescent="0.3">
      <c r="A20" s="24">
        <v>2380</v>
      </c>
      <c r="B20" s="21">
        <v>0</v>
      </c>
      <c r="C20" s="22">
        <v>0</v>
      </c>
      <c r="D20" s="23">
        <v>0</v>
      </c>
      <c r="F20" s="42">
        <v>1</v>
      </c>
      <c r="G20" s="40">
        <v>13</v>
      </c>
      <c r="H20" s="43">
        <v>3</v>
      </c>
      <c r="I20" s="41">
        <v>19.899999999999999</v>
      </c>
      <c r="J20" s="41">
        <f t="shared" si="0"/>
        <v>19.649999999999999</v>
      </c>
      <c r="K20" s="44">
        <f t="shared" si="1"/>
        <v>0.25</v>
      </c>
    </row>
    <row r="21" spans="1:11" ht="24" thickBot="1" x14ac:dyDescent="0.3">
      <c r="A21" s="24">
        <v>2410</v>
      </c>
      <c r="B21" s="21">
        <v>0</v>
      </c>
      <c r="C21" s="22">
        <v>0</v>
      </c>
      <c r="D21" s="23">
        <v>0</v>
      </c>
      <c r="F21" s="42">
        <v>1</v>
      </c>
      <c r="G21" s="40">
        <v>14</v>
      </c>
      <c r="H21" s="43">
        <v>3</v>
      </c>
      <c r="I21" s="41">
        <v>20.45</v>
      </c>
      <c r="J21" s="41">
        <f t="shared" si="0"/>
        <v>20.2</v>
      </c>
      <c r="K21" s="44">
        <f t="shared" si="1"/>
        <v>0.25</v>
      </c>
    </row>
    <row r="22" spans="1:11" ht="24" thickBot="1" x14ac:dyDescent="0.3">
      <c r="A22" s="24">
        <v>2420</v>
      </c>
      <c r="B22" s="21">
        <v>0</v>
      </c>
      <c r="C22" s="22">
        <v>0</v>
      </c>
      <c r="D22" s="23">
        <v>0</v>
      </c>
      <c r="F22" s="42">
        <v>1</v>
      </c>
      <c r="G22" s="40">
        <v>16</v>
      </c>
      <c r="H22" s="43">
        <v>3</v>
      </c>
      <c r="I22" s="41">
        <v>22.05</v>
      </c>
      <c r="J22" s="41">
        <f t="shared" si="0"/>
        <v>21.8</v>
      </c>
      <c r="K22" s="44">
        <f t="shared" si="1"/>
        <v>0.25</v>
      </c>
    </row>
    <row r="23" spans="1:11" ht="24" thickBot="1" x14ac:dyDescent="0.3">
      <c r="A23" s="24">
        <v>2480</v>
      </c>
      <c r="B23" s="21">
        <v>0</v>
      </c>
      <c r="C23" s="22">
        <v>0</v>
      </c>
      <c r="D23" s="23">
        <v>0</v>
      </c>
      <c r="F23" s="42">
        <v>1</v>
      </c>
      <c r="G23" s="40">
        <v>17</v>
      </c>
      <c r="H23" s="43">
        <v>3</v>
      </c>
      <c r="I23" s="41">
        <v>22.8</v>
      </c>
      <c r="J23" s="41">
        <f t="shared" si="0"/>
        <v>22.55</v>
      </c>
      <c r="K23" s="44">
        <f t="shared" si="1"/>
        <v>0.25</v>
      </c>
    </row>
    <row r="24" spans="1:11" ht="24" thickBot="1" x14ac:dyDescent="0.3">
      <c r="A24" s="24">
        <v>2470</v>
      </c>
      <c r="B24" s="21">
        <v>0</v>
      </c>
      <c r="C24" s="22">
        <v>0</v>
      </c>
      <c r="D24" s="23">
        <v>0</v>
      </c>
      <c r="F24" s="42">
        <v>1</v>
      </c>
      <c r="G24" s="40">
        <v>18</v>
      </c>
      <c r="H24" s="43">
        <v>3</v>
      </c>
      <c r="I24" s="41">
        <v>23.55</v>
      </c>
      <c r="J24" s="41">
        <f t="shared" si="0"/>
        <v>23.3</v>
      </c>
      <c r="K24" s="44">
        <f t="shared" si="1"/>
        <v>0.25</v>
      </c>
    </row>
    <row r="25" spans="1:11" ht="24" thickBot="1" x14ac:dyDescent="0.3">
      <c r="A25" s="24">
        <v>2560</v>
      </c>
      <c r="B25" s="21">
        <v>3</v>
      </c>
      <c r="C25" s="22">
        <v>30.45</v>
      </c>
      <c r="D25" s="23">
        <v>0.75</v>
      </c>
      <c r="F25" s="42">
        <v>1</v>
      </c>
      <c r="G25" s="40">
        <v>26</v>
      </c>
      <c r="H25" s="43">
        <v>3</v>
      </c>
      <c r="I25" s="41">
        <v>42.2</v>
      </c>
      <c r="J25" s="41">
        <f t="shared" si="0"/>
        <v>41.95</v>
      </c>
      <c r="K25" s="44">
        <f t="shared" si="1"/>
        <v>0.25</v>
      </c>
    </row>
    <row r="26" spans="1:11" ht="24" thickBot="1" x14ac:dyDescent="0.3">
      <c r="A26" s="24" t="s">
        <v>33</v>
      </c>
      <c r="B26" s="21">
        <v>398</v>
      </c>
      <c r="C26" s="22">
        <v>5039.6000000000004</v>
      </c>
      <c r="D26" s="23">
        <v>99.5</v>
      </c>
      <c r="F26" s="42">
        <v>1</v>
      </c>
      <c r="G26" s="40">
        <v>28</v>
      </c>
      <c r="H26" s="43">
        <v>3</v>
      </c>
      <c r="I26" s="41">
        <v>45.05</v>
      </c>
      <c r="J26" s="41">
        <f t="shared" si="0"/>
        <v>44.8</v>
      </c>
      <c r="K26" s="44">
        <f t="shared" si="1"/>
        <v>0.25</v>
      </c>
    </row>
    <row r="27" spans="1:11" ht="24" thickBot="1" x14ac:dyDescent="0.3">
      <c r="A27" s="24" t="s">
        <v>34</v>
      </c>
      <c r="B27" s="21">
        <v>0</v>
      </c>
      <c r="C27" s="22">
        <v>0</v>
      </c>
      <c r="D27" s="23">
        <v>0</v>
      </c>
      <c r="F27" s="42">
        <v>1</v>
      </c>
      <c r="G27" s="40">
        <v>32</v>
      </c>
      <c r="H27" s="43">
        <v>3</v>
      </c>
      <c r="I27" s="41">
        <v>49.7</v>
      </c>
      <c r="J27" s="41">
        <f t="shared" si="0"/>
        <v>49.45</v>
      </c>
      <c r="K27" s="44">
        <f t="shared" si="1"/>
        <v>0.25</v>
      </c>
    </row>
    <row r="28" spans="1:11" ht="24" thickBot="1" x14ac:dyDescent="0.3">
      <c r="A28" s="24" t="s">
        <v>35</v>
      </c>
      <c r="B28" s="21">
        <v>0</v>
      </c>
      <c r="C28" s="22">
        <v>0</v>
      </c>
      <c r="D28" s="23">
        <v>0</v>
      </c>
      <c r="F28" s="42">
        <v>2</v>
      </c>
      <c r="G28" s="40">
        <v>13</v>
      </c>
      <c r="H28" s="43">
        <v>4</v>
      </c>
      <c r="I28" s="41">
        <v>22.6</v>
      </c>
      <c r="J28" s="41">
        <f t="shared" si="0"/>
        <v>44.7</v>
      </c>
      <c r="K28" s="44">
        <f t="shared" si="1"/>
        <v>0.5</v>
      </c>
    </row>
    <row r="29" spans="1:11" ht="24" thickBot="1" x14ac:dyDescent="0.3">
      <c r="A29" s="24">
        <v>2670</v>
      </c>
      <c r="B29" s="21">
        <v>0</v>
      </c>
      <c r="C29" s="22">
        <v>0</v>
      </c>
      <c r="D29" s="23">
        <v>0</v>
      </c>
      <c r="F29" s="42">
        <v>1</v>
      </c>
      <c r="G29" s="40">
        <v>20</v>
      </c>
      <c r="H29" s="43">
        <v>4</v>
      </c>
      <c r="I29" s="41">
        <v>28.8</v>
      </c>
      <c r="J29" s="41">
        <f t="shared" si="0"/>
        <v>28.55</v>
      </c>
      <c r="K29" s="44">
        <f t="shared" si="1"/>
        <v>0.25</v>
      </c>
    </row>
    <row r="30" spans="1:11" ht="24" thickBot="1" x14ac:dyDescent="0.3">
      <c r="A30" s="24">
        <v>2920</v>
      </c>
      <c r="B30" s="25">
        <v>0</v>
      </c>
      <c r="C30" s="26">
        <v>0</v>
      </c>
      <c r="D30" s="27">
        <v>0</v>
      </c>
      <c r="F30" s="42">
        <v>1</v>
      </c>
      <c r="G30" s="40">
        <v>23</v>
      </c>
      <c r="H30" s="43">
        <v>4</v>
      </c>
      <c r="I30" s="41">
        <v>45.55</v>
      </c>
      <c r="J30" s="41">
        <f t="shared" si="0"/>
        <v>45.3</v>
      </c>
      <c r="K30" s="44">
        <f t="shared" si="1"/>
        <v>0.25</v>
      </c>
    </row>
    <row r="31" spans="1:11" ht="24" thickBot="1" x14ac:dyDescent="0.3">
      <c r="A31" s="24">
        <v>2960</v>
      </c>
      <c r="B31" s="28">
        <v>0</v>
      </c>
      <c r="C31" s="29">
        <v>0</v>
      </c>
      <c r="D31" s="30">
        <v>0</v>
      </c>
      <c r="F31" s="42">
        <v>1</v>
      </c>
      <c r="G31" s="40">
        <v>24</v>
      </c>
      <c r="H31" s="43">
        <v>4</v>
      </c>
      <c r="I31" s="41">
        <v>47.65</v>
      </c>
      <c r="J31" s="41">
        <f t="shared" si="0"/>
        <v>47.4</v>
      </c>
      <c r="K31" s="44">
        <f t="shared" si="1"/>
        <v>0.25</v>
      </c>
    </row>
    <row r="32" spans="1:11" ht="24" thickBot="1" x14ac:dyDescent="0.3">
      <c r="A32" s="24">
        <v>2970</v>
      </c>
      <c r="B32" s="21">
        <v>0</v>
      </c>
      <c r="C32" s="22">
        <v>0</v>
      </c>
      <c r="D32" s="23">
        <v>0</v>
      </c>
      <c r="F32" s="42">
        <v>1</v>
      </c>
      <c r="G32" s="40">
        <v>30</v>
      </c>
      <c r="H32" s="43">
        <v>4</v>
      </c>
      <c r="I32" s="41">
        <v>58.95</v>
      </c>
      <c r="J32" s="41">
        <f t="shared" si="0"/>
        <v>58.7</v>
      </c>
      <c r="K32" s="44">
        <f t="shared" si="1"/>
        <v>0.25</v>
      </c>
    </row>
    <row r="33" spans="1:11" ht="24" thickBot="1" x14ac:dyDescent="0.3">
      <c r="A33" s="24">
        <v>4260</v>
      </c>
      <c r="B33" s="21">
        <v>0</v>
      </c>
      <c r="C33" s="22">
        <v>0</v>
      </c>
      <c r="D33" s="23">
        <v>0</v>
      </c>
      <c r="F33" s="42"/>
      <c r="G33" s="40"/>
      <c r="H33" s="43"/>
      <c r="I33" s="41"/>
      <c r="J33" s="41">
        <f>SUM(F33*I33)-(F33*0.25)</f>
        <v>0</v>
      </c>
      <c r="K33" s="44">
        <f>SUM(F33*0.25)</f>
        <v>0</v>
      </c>
    </row>
    <row r="34" spans="1:11" ht="24" thickBot="1" x14ac:dyDescent="0.3">
      <c r="A34" s="24">
        <v>4370</v>
      </c>
      <c r="B34" s="21">
        <v>0</v>
      </c>
      <c r="C34" s="22">
        <v>0</v>
      </c>
      <c r="D34" s="23">
        <v>0</v>
      </c>
      <c r="F34" s="42"/>
      <c r="G34" s="40"/>
      <c r="H34" s="43"/>
      <c r="I34" s="41"/>
      <c r="J34" s="41">
        <f>SUM(F34*I34)-(F34*0.25)</f>
        <v>0</v>
      </c>
      <c r="K34" s="44">
        <f>SUM(F34*0.25)</f>
        <v>0</v>
      </c>
    </row>
    <row r="35" spans="1:11" ht="24" thickBot="1" x14ac:dyDescent="0.3">
      <c r="A35" s="24" t="s">
        <v>36</v>
      </c>
      <c r="B35" s="21">
        <v>0</v>
      </c>
      <c r="C35" s="22">
        <v>0</v>
      </c>
      <c r="D35" s="23">
        <v>0</v>
      </c>
      <c r="F35" s="42"/>
      <c r="G35" s="40"/>
      <c r="H35" s="43"/>
      <c r="I35" s="41"/>
      <c r="J35" s="41">
        <f t="shared" si="0"/>
        <v>0</v>
      </c>
      <c r="K35" s="44">
        <f t="shared" si="1"/>
        <v>0</v>
      </c>
    </row>
    <row r="36" spans="1:11" ht="24" thickBot="1" x14ac:dyDescent="0.3">
      <c r="A36" s="24">
        <v>4430</v>
      </c>
      <c r="B36" s="21">
        <v>0</v>
      </c>
      <c r="C36" s="22">
        <v>0</v>
      </c>
      <c r="D36" s="23">
        <v>0</v>
      </c>
      <c r="F36" s="42"/>
      <c r="G36" s="40"/>
      <c r="H36" s="43"/>
      <c r="I36" s="41"/>
      <c r="J36" s="41">
        <f t="shared" si="0"/>
        <v>0</v>
      </c>
      <c r="K36" s="44">
        <f t="shared" si="1"/>
        <v>0</v>
      </c>
    </row>
    <row r="37" spans="1:11" ht="24" thickBot="1" x14ac:dyDescent="0.3">
      <c r="A37" s="24">
        <v>4500</v>
      </c>
      <c r="B37" s="21">
        <v>0</v>
      </c>
      <c r="C37" s="22">
        <v>0</v>
      </c>
      <c r="D37" s="23">
        <v>0</v>
      </c>
      <c r="F37" s="42"/>
      <c r="G37" s="40"/>
      <c r="H37" s="43"/>
      <c r="I37" s="41"/>
      <c r="J37" s="41">
        <f t="shared" si="0"/>
        <v>0</v>
      </c>
      <c r="K37" s="44">
        <f t="shared" si="1"/>
        <v>0</v>
      </c>
    </row>
    <row r="38" spans="1:11" ht="24" thickBot="1" x14ac:dyDescent="0.3">
      <c r="A38" s="24">
        <v>4610</v>
      </c>
      <c r="B38" s="21">
        <v>0</v>
      </c>
      <c r="C38" s="22">
        <v>0</v>
      </c>
      <c r="D38" s="23">
        <v>0</v>
      </c>
      <c r="F38" s="42"/>
      <c r="G38" s="40"/>
      <c r="H38" s="43"/>
      <c r="I38" s="41"/>
      <c r="J38" s="41">
        <f t="shared" si="0"/>
        <v>0</v>
      </c>
      <c r="K38" s="44">
        <f t="shared" si="1"/>
        <v>0</v>
      </c>
    </row>
    <row r="39" spans="1:11" ht="24" thickBot="1" x14ac:dyDescent="0.3">
      <c r="A39" s="24">
        <v>4660</v>
      </c>
      <c r="B39" s="21">
        <v>0</v>
      </c>
      <c r="C39" s="22">
        <v>0</v>
      </c>
      <c r="D39" s="23">
        <v>0</v>
      </c>
      <c r="F39" s="42"/>
      <c r="G39" s="40"/>
      <c r="H39" s="43"/>
      <c r="I39" s="41"/>
      <c r="J39" s="41">
        <f t="shared" si="0"/>
        <v>0</v>
      </c>
      <c r="K39" s="44">
        <f t="shared" si="1"/>
        <v>0</v>
      </c>
    </row>
    <row r="40" spans="1:11" ht="24" thickBot="1" x14ac:dyDescent="0.3">
      <c r="A40" s="24" t="s">
        <v>37</v>
      </c>
      <c r="B40" s="21">
        <v>4</v>
      </c>
      <c r="C40" s="22">
        <v>40.6</v>
      </c>
      <c r="D40" s="23">
        <v>1</v>
      </c>
      <c r="F40" s="42"/>
      <c r="G40" s="40"/>
      <c r="H40" s="43"/>
      <c r="I40" s="41"/>
      <c r="J40" s="41">
        <f t="shared" si="0"/>
        <v>0</v>
      </c>
      <c r="K40" s="44">
        <f t="shared" si="1"/>
        <v>0</v>
      </c>
    </row>
    <row r="41" spans="1:11" ht="24" thickBot="1" x14ac:dyDescent="0.3">
      <c r="A41" s="24" t="s">
        <v>38</v>
      </c>
      <c r="B41" s="21">
        <v>12</v>
      </c>
      <c r="C41" s="22">
        <v>121.8</v>
      </c>
      <c r="D41" s="23">
        <v>3</v>
      </c>
      <c r="F41" s="42"/>
      <c r="G41" s="40"/>
      <c r="H41" s="43"/>
      <c r="I41" s="41"/>
      <c r="J41" s="41">
        <f t="shared" si="0"/>
        <v>0</v>
      </c>
      <c r="K41" s="44">
        <f t="shared" si="1"/>
        <v>0</v>
      </c>
    </row>
    <row r="42" spans="1:11" ht="24" thickBot="1" x14ac:dyDescent="0.3">
      <c r="A42" s="24" t="s">
        <v>39</v>
      </c>
      <c r="B42" s="21">
        <v>0</v>
      </c>
      <c r="C42" s="22">
        <v>0</v>
      </c>
      <c r="D42" s="23">
        <v>0</v>
      </c>
      <c r="F42" s="42"/>
      <c r="G42" s="40"/>
      <c r="H42" s="43"/>
      <c r="I42" s="41"/>
      <c r="J42" s="41">
        <f>SUM(F42*I42)-(F42*0.25)</f>
        <v>0</v>
      </c>
      <c r="K42" s="44">
        <f t="shared" si="1"/>
        <v>0</v>
      </c>
    </row>
    <row r="43" spans="1:11" ht="24" thickBot="1" x14ac:dyDescent="0.3">
      <c r="A43" s="24">
        <v>4810</v>
      </c>
      <c r="B43" s="21">
        <v>0</v>
      </c>
      <c r="C43" s="22">
        <v>0</v>
      </c>
      <c r="D43" s="23">
        <v>0</v>
      </c>
      <c r="F43" s="45">
        <f>SUM(F16:F42)</f>
        <v>18</v>
      </c>
      <c r="G43" s="46"/>
      <c r="H43" s="46"/>
      <c r="I43" s="47"/>
      <c r="J43" s="48">
        <f>SUM(J16:J42)</f>
        <v>608.55000000000007</v>
      </c>
      <c r="K43" s="48">
        <f>SUM(K16:K42)</f>
        <v>4.5</v>
      </c>
    </row>
    <row r="44" spans="1:11" ht="17" thickBot="1" x14ac:dyDescent="0.25">
      <c r="A44" s="24">
        <v>4930</v>
      </c>
      <c r="B44" s="21">
        <v>0</v>
      </c>
      <c r="C44" s="22">
        <v>0</v>
      </c>
      <c r="D44" s="23">
        <v>0</v>
      </c>
    </row>
    <row r="45" spans="1:11" ht="17" thickBot="1" x14ac:dyDescent="0.25">
      <c r="A45" s="24">
        <v>5040</v>
      </c>
      <c r="B45" s="21">
        <v>1</v>
      </c>
      <c r="C45" s="22">
        <v>10.15</v>
      </c>
      <c r="D45" s="23">
        <v>0.25</v>
      </c>
    </row>
    <row r="46" spans="1:11" ht="17" thickBot="1" x14ac:dyDescent="0.25">
      <c r="A46" s="24">
        <v>5630</v>
      </c>
      <c r="B46" s="21">
        <v>0</v>
      </c>
      <c r="C46" s="22">
        <v>0</v>
      </c>
      <c r="D46" s="23">
        <v>0</v>
      </c>
    </row>
    <row r="47" spans="1:11" ht="17" thickBot="1" x14ac:dyDescent="0.25">
      <c r="A47" s="24">
        <v>5160</v>
      </c>
      <c r="B47" s="21">
        <v>0</v>
      </c>
      <c r="C47" s="22">
        <v>0</v>
      </c>
      <c r="D47" s="23">
        <v>0</v>
      </c>
    </row>
    <row r="48" spans="1:11" ht="17" thickBot="1" x14ac:dyDescent="0.25">
      <c r="A48" s="24">
        <v>5200</v>
      </c>
      <c r="B48" s="21">
        <v>0</v>
      </c>
      <c r="C48" s="22">
        <v>0</v>
      </c>
      <c r="D48" s="23">
        <v>0</v>
      </c>
    </row>
    <row r="49" spans="1:4" ht="17" thickBot="1" x14ac:dyDescent="0.25">
      <c r="A49" s="24">
        <v>5240</v>
      </c>
      <c r="B49" s="21">
        <v>0</v>
      </c>
      <c r="C49" s="22">
        <v>0</v>
      </c>
      <c r="D49" s="23">
        <v>0</v>
      </c>
    </row>
    <row r="50" spans="1:4" ht="17" thickBot="1" x14ac:dyDescent="0.25">
      <c r="A50" s="24">
        <v>5510</v>
      </c>
      <c r="B50" s="21">
        <v>0</v>
      </c>
      <c r="C50" s="22">
        <v>0</v>
      </c>
      <c r="D50" s="23">
        <v>0</v>
      </c>
    </row>
    <row r="51" spans="1:4" ht="17" thickBot="1" x14ac:dyDescent="0.25">
      <c r="A51" s="24">
        <v>5600</v>
      </c>
      <c r="B51" s="21">
        <v>3</v>
      </c>
      <c r="C51" s="22">
        <v>33.35</v>
      </c>
      <c r="D51" s="23">
        <v>0.75</v>
      </c>
    </row>
    <row r="52" spans="1:4" ht="17" thickBot="1" x14ac:dyDescent="0.25">
      <c r="A52" s="24">
        <v>5650</v>
      </c>
      <c r="B52" s="21">
        <v>13</v>
      </c>
      <c r="C52" s="22">
        <v>156.75</v>
      </c>
      <c r="D52" s="23">
        <v>3.25</v>
      </c>
    </row>
    <row r="53" spans="1:4" ht="17" thickBot="1" x14ac:dyDescent="0.25">
      <c r="A53" s="24">
        <v>6540</v>
      </c>
      <c r="B53" s="21">
        <v>0</v>
      </c>
      <c r="C53" s="22">
        <v>0</v>
      </c>
      <c r="D53" s="23">
        <v>0</v>
      </c>
    </row>
    <row r="54" spans="1:4" ht="17" thickBot="1" x14ac:dyDescent="0.25">
      <c r="A54" s="24">
        <v>7030</v>
      </c>
      <c r="B54" s="21">
        <v>0</v>
      </c>
      <c r="C54" s="22">
        <v>0</v>
      </c>
      <c r="D54" s="23">
        <v>0</v>
      </c>
    </row>
    <row r="55" spans="1:4" ht="17" thickBot="1" x14ac:dyDescent="0.25">
      <c r="A55" s="24">
        <v>8010</v>
      </c>
      <c r="B55" s="21">
        <v>0</v>
      </c>
      <c r="C55" s="22">
        <v>0</v>
      </c>
      <c r="D55" s="23">
        <v>0</v>
      </c>
    </row>
    <row r="56" spans="1:4" ht="17" thickBot="1" x14ac:dyDescent="0.25">
      <c r="A56" s="24">
        <v>8120</v>
      </c>
      <c r="B56" s="21">
        <v>0</v>
      </c>
      <c r="C56" s="22">
        <v>0</v>
      </c>
      <c r="D56" s="23">
        <v>0</v>
      </c>
    </row>
    <row r="57" spans="1:4" ht="17" thickBot="1" x14ac:dyDescent="0.25">
      <c r="A57" s="24">
        <v>8140</v>
      </c>
      <c r="B57" s="21">
        <v>8</v>
      </c>
      <c r="C57" s="22">
        <v>100.1</v>
      </c>
      <c r="D57" s="23">
        <v>2</v>
      </c>
    </row>
    <row r="58" spans="1:4" ht="17" thickBot="1" x14ac:dyDescent="0.25">
      <c r="A58" s="24" t="s">
        <v>40</v>
      </c>
      <c r="B58" s="21">
        <v>0</v>
      </c>
      <c r="C58" s="22">
        <v>0</v>
      </c>
      <c r="D58" s="23">
        <v>0</v>
      </c>
    </row>
    <row r="59" spans="1:4" ht="17" thickBot="1" x14ac:dyDescent="0.25">
      <c r="A59" s="24">
        <v>8300</v>
      </c>
      <c r="B59" s="21">
        <v>0</v>
      </c>
      <c r="C59" s="22">
        <v>0</v>
      </c>
      <c r="D59" s="23">
        <v>0</v>
      </c>
    </row>
    <row r="60" spans="1:4" ht="17" thickBot="1" x14ac:dyDescent="0.25">
      <c r="A60" s="24">
        <v>8310</v>
      </c>
      <c r="B60" s="21">
        <v>0</v>
      </c>
      <c r="C60" s="22">
        <v>0</v>
      </c>
      <c r="D60" s="23">
        <v>0</v>
      </c>
    </row>
    <row r="61" spans="1:4" ht="17" thickBot="1" x14ac:dyDescent="0.25">
      <c r="A61" s="24">
        <v>8610</v>
      </c>
      <c r="B61" s="21">
        <v>0</v>
      </c>
      <c r="C61" s="22">
        <v>0</v>
      </c>
      <c r="D61" s="23">
        <v>0</v>
      </c>
    </row>
    <row r="62" spans="1:4" ht="17" thickBot="1" x14ac:dyDescent="0.25">
      <c r="A62" s="24">
        <v>9200</v>
      </c>
      <c r="B62" s="21">
        <v>7</v>
      </c>
      <c r="C62" s="22">
        <v>85.25</v>
      </c>
      <c r="D62" s="23">
        <v>1.75</v>
      </c>
    </row>
    <row r="63" spans="1:4" ht="17" thickBot="1" x14ac:dyDescent="0.25">
      <c r="A63" s="24">
        <v>9800</v>
      </c>
      <c r="B63" s="21">
        <v>0</v>
      </c>
      <c r="C63" s="22">
        <v>0</v>
      </c>
      <c r="D63" s="23">
        <v>0</v>
      </c>
    </row>
    <row r="64" spans="1:4" ht="17" thickBot="1" x14ac:dyDescent="0.25">
      <c r="A64" s="24">
        <v>9810</v>
      </c>
      <c r="B64" s="21">
        <v>0</v>
      </c>
      <c r="C64" s="22">
        <v>0</v>
      </c>
      <c r="D64" s="23">
        <v>0</v>
      </c>
    </row>
    <row r="65" spans="1:4" ht="17" thickBot="1" x14ac:dyDescent="0.25">
      <c r="A65" s="24">
        <v>9820</v>
      </c>
      <c r="B65" s="21">
        <v>0</v>
      </c>
      <c r="C65" s="22">
        <v>0</v>
      </c>
      <c r="D65" s="23">
        <v>0</v>
      </c>
    </row>
    <row r="66" spans="1:4" ht="17" thickBot="1" x14ac:dyDescent="0.25">
      <c r="A66" s="24">
        <v>9830</v>
      </c>
      <c r="B66" s="21">
        <v>0</v>
      </c>
      <c r="C66" s="22">
        <v>0</v>
      </c>
      <c r="D66" s="23">
        <v>0</v>
      </c>
    </row>
    <row r="67" spans="1:4" ht="17" thickBot="1" x14ac:dyDescent="0.25">
      <c r="A67" s="31">
        <v>9870</v>
      </c>
      <c r="B67" s="32">
        <v>0</v>
      </c>
      <c r="C67" s="26">
        <v>0</v>
      </c>
      <c r="D67" s="27">
        <v>0</v>
      </c>
    </row>
    <row r="68" spans="1:4" ht="19" thickBot="1" x14ac:dyDescent="0.25">
      <c r="A68" s="33"/>
      <c r="B68" s="34">
        <v>462</v>
      </c>
      <c r="C68" s="35">
        <v>5759.2000000000016</v>
      </c>
      <c r="D68" s="35">
        <v>115.5</v>
      </c>
    </row>
    <row r="69" spans="1:4" ht="24" thickBot="1" x14ac:dyDescent="0.3">
      <c r="A69" s="33"/>
      <c r="B69" s="36" t="s">
        <v>41</v>
      </c>
      <c r="C69" s="37" t="s">
        <v>42</v>
      </c>
      <c r="D69" s="38" t="s">
        <v>43</v>
      </c>
    </row>
  </sheetData>
  <mergeCells count="2">
    <mergeCell ref="B1:AG1"/>
    <mergeCell ref="A14:A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2026-04-06T11:31:58Z</dcterms:created>
  <dcterms:modified xsi:type="dcterms:W3CDTF">2026-04-06T11:33:59Z</dcterms:modified>
</cp:coreProperties>
</file>